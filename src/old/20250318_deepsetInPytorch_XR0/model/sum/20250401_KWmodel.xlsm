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 codeName="{6A26FB3C-EA34-E94E-B44F-155022A03E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navin/Library/CloudStorage/Dropbox-AIZOTH/研究/Navin/NEDO/REFPROP_Material property/deepset-bi-mixtures/src/20250318_deepsetInPytorch_XR0/model/sum/"/>
    </mc:Choice>
  </mc:AlternateContent>
  <xr:revisionPtr revIDLastSave="0" documentId="13_ncr:1_{774A7AF4-1692-074F-9667-39686DC3E443}" xr6:coauthVersionLast="47" xr6:coauthVersionMax="47" xr10:uidLastSave="{00000000-0000-0000-0000-000000000000}"/>
  <bookViews>
    <workbookView xWindow="0" yWindow="780" windowWidth="34200" windowHeight="19840" activeTab="1" xr2:uid="{0110A18B-CCDD-46C5-B5A6-B181753E20BE}"/>
  </bookViews>
  <sheets>
    <sheet name="KW0" sheetId="5" r:id="rId1"/>
    <sheet name="calculation" sheetId="3" r:id="rId2"/>
    <sheet name="FLD" sheetId="2" r:id="rId3"/>
    <sheet name="Sheet1" sheetId="1" r:id="rId4"/>
  </sheets>
  <definedNames>
    <definedName name="_xlnm._FilterDatabase" localSheetId="0" hidden="1">KW0!$D$1:$D$990</definedName>
    <definedName name="_xlchart.v1.10" hidden="1">calculation!$AB$25</definedName>
    <definedName name="_xlchart.v1.11" hidden="1">calculation!$AB$26:$AB$36</definedName>
    <definedName name="_xlchart.v1.12" hidden="1">calculation!$Y$25</definedName>
    <definedName name="_xlchart.v1.13" hidden="1">calculation!$Y$26:$Y$36</definedName>
    <definedName name="_xlchart.v1.14" hidden="1">calculation!$Z$25</definedName>
    <definedName name="_xlchart.v1.15" hidden="1">calculation!$Z$26:$Z$36</definedName>
    <definedName name="_xlchart.v1.8" hidden="1">calculation!$AA$25</definedName>
    <definedName name="_xlchart.v1.9" hidden="1">calculation!$AA$26:$AA$36</definedName>
    <definedName name="_xlchart.v2.0" hidden="1">calculation!$AA$25</definedName>
    <definedName name="_xlchart.v2.1" hidden="1">calculation!$AA$26:$AA$36</definedName>
    <definedName name="_xlchart.v2.2" hidden="1">calculation!$AB$25</definedName>
    <definedName name="_xlchart.v2.3" hidden="1">calculation!$AB$26:$AB$36</definedName>
    <definedName name="_xlchart.v2.4" hidden="1">calculation!$Y$25</definedName>
    <definedName name="_xlchart.v2.5" hidden="1">calculation!$Y$26:$Y$36</definedName>
    <definedName name="_xlchart.v2.6" hidden="1">calculation!$Z$25</definedName>
    <definedName name="_xlchart.v2.7" hidden="1">calculation!$Z$26:$Z$36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6" i="3" l="1"/>
  <c r="G15" i="3"/>
  <c r="G14" i="3"/>
  <c r="G13" i="3"/>
  <c r="G12" i="3"/>
  <c r="G11" i="3"/>
  <c r="G10" i="3"/>
  <c r="G9" i="3"/>
  <c r="G8" i="3"/>
  <c r="G7" i="3"/>
  <c r="G6" i="3"/>
  <c r="D5" i="3"/>
  <c r="C5" i="3"/>
  <c r="H6" i="3" s="1"/>
  <c r="I7" i="1"/>
  <c r="I8" i="1"/>
  <c r="I9" i="1"/>
  <c r="I10" i="1"/>
  <c r="I11" i="1"/>
  <c r="I12" i="1"/>
  <c r="I13" i="1"/>
  <c r="I14" i="1"/>
  <c r="I15" i="1"/>
  <c r="I16" i="1"/>
  <c r="I6" i="1"/>
  <c r="H7" i="1"/>
  <c r="H8" i="1"/>
  <c r="H9" i="1"/>
  <c r="H10" i="1"/>
  <c r="H11" i="1"/>
  <c r="H12" i="1"/>
  <c r="H13" i="1"/>
  <c r="H14" i="1"/>
  <c r="H15" i="1"/>
  <c r="H16" i="1"/>
  <c r="H6" i="1"/>
  <c r="G7" i="1"/>
  <c r="G8" i="1"/>
  <c r="G9" i="1"/>
  <c r="G10" i="1"/>
  <c r="G11" i="1"/>
  <c r="G12" i="1"/>
  <c r="G13" i="1"/>
  <c r="G14" i="1"/>
  <c r="G15" i="1"/>
  <c r="G16" i="1"/>
  <c r="G6" i="1"/>
  <c r="D5" i="1"/>
  <c r="C5" i="1"/>
  <c r="I14" i="3" l="1"/>
  <c r="I13" i="3"/>
  <c r="I15" i="3"/>
  <c r="I7" i="3"/>
  <c r="I11" i="3"/>
  <c r="I6" i="3"/>
  <c r="I8" i="3"/>
  <c r="I10" i="3"/>
  <c r="I12" i="3"/>
  <c r="I16" i="3"/>
  <c r="H14" i="3"/>
  <c r="H9" i="3"/>
  <c r="H13" i="3"/>
  <c r="H15" i="3"/>
  <c r="H10" i="3"/>
  <c r="H11" i="3"/>
  <c r="I9" i="3"/>
  <c r="H12" i="3"/>
  <c r="H16" i="3"/>
  <c r="H7" i="3"/>
  <c r="H8" i="3"/>
</calcChain>
</file>

<file path=xl/sharedStrings.xml><?xml version="1.0" encoding="utf-8"?>
<sst xmlns="http://schemas.openxmlformats.org/spreadsheetml/2006/main" count="3477" uniqueCount="2456">
  <si>
    <t>R32</t>
    <phoneticPr fontId="2"/>
  </si>
  <si>
    <t>R1234yf</t>
    <phoneticPr fontId="2"/>
  </si>
  <si>
    <t>Tc (K)</t>
    <phoneticPr fontId="2"/>
  </si>
  <si>
    <t>Dc (mol/L)</t>
    <phoneticPr fontId="2"/>
  </si>
  <si>
    <t>comp.1</t>
    <phoneticPr fontId="2"/>
  </si>
  <si>
    <t>comp.2</t>
    <phoneticPr fontId="2"/>
  </si>
  <si>
    <t>betaT</t>
    <phoneticPr fontId="2"/>
  </si>
  <si>
    <t>gammaT</t>
    <phoneticPr fontId="2"/>
  </si>
  <si>
    <t>betaV</t>
    <phoneticPr fontId="2"/>
  </si>
  <si>
    <t>gammaV</t>
    <phoneticPr fontId="2"/>
  </si>
  <si>
    <t>x1</t>
    <phoneticPr fontId="2"/>
  </si>
  <si>
    <t>x2</t>
    <phoneticPr fontId="2"/>
  </si>
  <si>
    <t>Tred</t>
    <phoneticPr fontId="2"/>
  </si>
  <si>
    <t>Dred</t>
    <phoneticPr fontId="2"/>
  </si>
  <si>
    <t>Tc</t>
    <phoneticPr fontId="2"/>
  </si>
  <si>
    <t>Dc</t>
    <phoneticPr fontId="2"/>
  </si>
  <si>
    <t>13BUTADIENE</t>
    <phoneticPr fontId="2"/>
  </si>
  <si>
    <t>1BUTENE</t>
    <phoneticPr fontId="2"/>
  </si>
  <si>
    <t>1BUTYNE</t>
    <phoneticPr fontId="2"/>
  </si>
  <si>
    <t>1PENTENE</t>
    <phoneticPr fontId="2"/>
  </si>
  <si>
    <t>22DIMETHYLBUTANE</t>
    <phoneticPr fontId="2"/>
  </si>
  <si>
    <t>23DIMETHYLBUTANE</t>
    <phoneticPr fontId="2"/>
  </si>
  <si>
    <t>3METHYLPENTANE</t>
    <phoneticPr fontId="2"/>
  </si>
  <si>
    <t>ACETONE</t>
    <phoneticPr fontId="2"/>
  </si>
  <si>
    <t>ACETYLENE</t>
    <phoneticPr fontId="2"/>
  </si>
  <si>
    <t>AMMONIA</t>
    <phoneticPr fontId="2"/>
  </si>
  <si>
    <t>ARGON</t>
    <phoneticPr fontId="2"/>
  </si>
  <si>
    <t>BENZENE</t>
    <phoneticPr fontId="2"/>
  </si>
  <si>
    <t>BUTANE</t>
    <phoneticPr fontId="2"/>
  </si>
  <si>
    <t>C11</t>
    <phoneticPr fontId="2"/>
  </si>
  <si>
    <t>C12</t>
    <phoneticPr fontId="2"/>
  </si>
  <si>
    <t>C16</t>
    <phoneticPr fontId="2"/>
  </si>
  <si>
    <t>C1CC6</t>
    <phoneticPr fontId="2"/>
  </si>
  <si>
    <t>C22</t>
    <phoneticPr fontId="2"/>
  </si>
  <si>
    <t>C2BUTENE</t>
    <phoneticPr fontId="2"/>
  </si>
  <si>
    <t>C3CC6</t>
    <phoneticPr fontId="2"/>
  </si>
  <si>
    <t>C4F10</t>
    <phoneticPr fontId="2"/>
  </si>
  <si>
    <t>C5F12</t>
    <phoneticPr fontId="2"/>
  </si>
  <si>
    <t>C6F14</t>
    <phoneticPr fontId="2"/>
  </si>
  <si>
    <t>CF3I</t>
    <phoneticPr fontId="2"/>
  </si>
  <si>
    <t>CHLORINE</t>
    <phoneticPr fontId="2"/>
  </si>
  <si>
    <t>CHLOROBENZENE</t>
    <phoneticPr fontId="2"/>
  </si>
  <si>
    <t>CO</t>
    <phoneticPr fontId="2"/>
  </si>
  <si>
    <t>CO2</t>
    <phoneticPr fontId="2"/>
  </si>
  <si>
    <t>COS</t>
    <phoneticPr fontId="2"/>
  </si>
  <si>
    <t>CYCLOBUTENE</t>
    <phoneticPr fontId="2"/>
  </si>
  <si>
    <t>CYCLOHEX</t>
    <phoneticPr fontId="2"/>
  </si>
  <si>
    <t>CYCLOPEN</t>
    <phoneticPr fontId="2"/>
  </si>
  <si>
    <t>CYCLOPRO</t>
    <phoneticPr fontId="2"/>
  </si>
  <si>
    <t>D2</t>
    <phoneticPr fontId="2"/>
  </si>
  <si>
    <t>D2O</t>
    <phoneticPr fontId="2"/>
  </si>
  <si>
    <t>D4</t>
    <phoneticPr fontId="2"/>
  </si>
  <si>
    <t>D5</t>
    <phoneticPr fontId="2"/>
  </si>
  <si>
    <t>D6</t>
    <phoneticPr fontId="2"/>
  </si>
  <si>
    <t>DEA</t>
    <phoneticPr fontId="2"/>
  </si>
  <si>
    <t>DECANE</t>
    <phoneticPr fontId="2"/>
  </si>
  <si>
    <t>DEE</t>
    <phoneticPr fontId="2"/>
  </si>
  <si>
    <t>DMC</t>
    <phoneticPr fontId="2"/>
  </si>
  <si>
    <t>DME</t>
    <phoneticPr fontId="2"/>
  </si>
  <si>
    <t>EBENZENE</t>
    <phoneticPr fontId="2"/>
  </si>
  <si>
    <t>EGLYCOL</t>
    <phoneticPr fontId="2"/>
  </si>
  <si>
    <t>ETHANE</t>
    <phoneticPr fontId="2"/>
  </si>
  <si>
    <t>ETHANOL</t>
    <phoneticPr fontId="2"/>
  </si>
  <si>
    <t>ETHYLENE</t>
    <phoneticPr fontId="2"/>
  </si>
  <si>
    <t>ETHYLENEOXIDE</t>
    <phoneticPr fontId="2"/>
  </si>
  <si>
    <t>FLUORINE</t>
    <phoneticPr fontId="2"/>
  </si>
  <si>
    <t>H2S</t>
    <phoneticPr fontId="2"/>
  </si>
  <si>
    <t>HCL</t>
    <phoneticPr fontId="2"/>
  </si>
  <si>
    <t>HELIUM</t>
    <phoneticPr fontId="2"/>
  </si>
  <si>
    <t>HEPTANE</t>
    <phoneticPr fontId="2"/>
  </si>
  <si>
    <t>HEXANE</t>
    <phoneticPr fontId="2"/>
  </si>
  <si>
    <t>HYDROGEN</t>
    <phoneticPr fontId="2"/>
  </si>
  <si>
    <t>IBUTENE</t>
    <phoneticPr fontId="2"/>
  </si>
  <si>
    <t>IHEXANE</t>
    <phoneticPr fontId="2"/>
  </si>
  <si>
    <t>IOCTANE</t>
    <phoneticPr fontId="2"/>
  </si>
  <si>
    <t>IPENTANE</t>
    <phoneticPr fontId="2"/>
  </si>
  <si>
    <t>ISOBUTAN</t>
    <phoneticPr fontId="2"/>
  </si>
  <si>
    <t>KRYPTON</t>
    <phoneticPr fontId="2"/>
  </si>
  <si>
    <t>MD2M</t>
    <phoneticPr fontId="2"/>
  </si>
  <si>
    <t>MD3M</t>
    <phoneticPr fontId="2"/>
  </si>
  <si>
    <t>MD4M</t>
    <phoneticPr fontId="2"/>
  </si>
  <si>
    <t>MDM</t>
    <phoneticPr fontId="2"/>
  </si>
  <si>
    <t>MEA</t>
    <phoneticPr fontId="2"/>
  </si>
  <si>
    <t>METHANE</t>
    <phoneticPr fontId="2"/>
  </si>
  <si>
    <t>METHANOL</t>
    <phoneticPr fontId="2"/>
  </si>
  <si>
    <t>MLINOLEA</t>
    <phoneticPr fontId="2"/>
  </si>
  <si>
    <t>MLINOLEN</t>
    <phoneticPr fontId="2"/>
  </si>
  <si>
    <t>MM</t>
    <phoneticPr fontId="2"/>
  </si>
  <si>
    <t>MOLEATE</t>
    <phoneticPr fontId="2"/>
  </si>
  <si>
    <t>MPALMITA</t>
    <phoneticPr fontId="2"/>
  </si>
  <si>
    <t>MSTEARAT</t>
    <phoneticPr fontId="2"/>
  </si>
  <si>
    <t>MXYLENE</t>
    <phoneticPr fontId="2"/>
  </si>
  <si>
    <t>N2O</t>
    <phoneticPr fontId="2"/>
  </si>
  <si>
    <t>NEON</t>
    <phoneticPr fontId="2"/>
  </si>
  <si>
    <t>NEOPENTN</t>
    <phoneticPr fontId="2"/>
  </si>
  <si>
    <t>NF3</t>
    <phoneticPr fontId="2"/>
  </si>
  <si>
    <t>NITROGEN</t>
    <phoneticPr fontId="2"/>
  </si>
  <si>
    <t>NONANE</t>
    <phoneticPr fontId="2"/>
  </si>
  <si>
    <t>NOVEC649</t>
    <phoneticPr fontId="2"/>
  </si>
  <si>
    <t>OCTANE</t>
    <phoneticPr fontId="2"/>
  </si>
  <si>
    <t>ORTHOHYD</t>
    <phoneticPr fontId="2"/>
  </si>
  <si>
    <t>OXYGEN</t>
    <phoneticPr fontId="2"/>
  </si>
  <si>
    <t>OXYLENE</t>
    <phoneticPr fontId="2"/>
  </si>
  <si>
    <t>PARAHYD</t>
    <phoneticPr fontId="2"/>
  </si>
  <si>
    <t>PENTANE</t>
    <phoneticPr fontId="2"/>
  </si>
  <si>
    <t>PROPADIENE</t>
    <phoneticPr fontId="2"/>
  </si>
  <si>
    <t>PROPANE</t>
    <phoneticPr fontId="2"/>
  </si>
  <si>
    <t>PROPYLEN</t>
    <phoneticPr fontId="2"/>
  </si>
  <si>
    <t>PROPYLENEOXIDE</t>
    <phoneticPr fontId="2"/>
  </si>
  <si>
    <t>PROPYNE</t>
    <phoneticPr fontId="2"/>
  </si>
  <si>
    <t>PXYLENE</t>
    <phoneticPr fontId="2"/>
  </si>
  <si>
    <t>R11</t>
    <phoneticPr fontId="2"/>
  </si>
  <si>
    <t>R1123</t>
    <phoneticPr fontId="2"/>
  </si>
  <si>
    <t>R113</t>
    <phoneticPr fontId="2"/>
  </si>
  <si>
    <t>R1132E</t>
    <phoneticPr fontId="2"/>
  </si>
  <si>
    <t>R114</t>
    <phoneticPr fontId="2"/>
  </si>
  <si>
    <t>R115</t>
    <phoneticPr fontId="2"/>
  </si>
  <si>
    <t>R116</t>
    <phoneticPr fontId="2"/>
  </si>
  <si>
    <t>R12</t>
    <phoneticPr fontId="2"/>
  </si>
  <si>
    <t>R1216</t>
    <phoneticPr fontId="2"/>
  </si>
  <si>
    <t>R1224YDZ</t>
    <phoneticPr fontId="2"/>
  </si>
  <si>
    <t>R123</t>
    <phoneticPr fontId="2"/>
  </si>
  <si>
    <t>R1233ZDE</t>
    <phoneticPr fontId="2"/>
  </si>
  <si>
    <t>R1234YF</t>
    <phoneticPr fontId="2"/>
  </si>
  <si>
    <t>R1234ZEE</t>
    <phoneticPr fontId="2"/>
  </si>
  <si>
    <t>R1234ZEZ</t>
    <phoneticPr fontId="2"/>
  </si>
  <si>
    <t>R124</t>
    <phoneticPr fontId="2"/>
  </si>
  <si>
    <t>R1243ZF</t>
    <phoneticPr fontId="2"/>
  </si>
  <si>
    <t>R125</t>
    <phoneticPr fontId="2"/>
  </si>
  <si>
    <t>R13</t>
    <phoneticPr fontId="2"/>
  </si>
  <si>
    <t>R1336MZZZ</t>
    <phoneticPr fontId="2"/>
  </si>
  <si>
    <t>R134A</t>
    <phoneticPr fontId="2"/>
  </si>
  <si>
    <t>R14</t>
    <phoneticPr fontId="2"/>
  </si>
  <si>
    <t>R141B</t>
    <phoneticPr fontId="2"/>
  </si>
  <si>
    <t>R142B</t>
    <phoneticPr fontId="2"/>
  </si>
  <si>
    <t>R143A</t>
    <phoneticPr fontId="2"/>
  </si>
  <si>
    <t>R150</t>
    <phoneticPr fontId="2"/>
  </si>
  <si>
    <t>R152A</t>
    <phoneticPr fontId="2"/>
  </si>
  <si>
    <t>R161</t>
    <phoneticPr fontId="2"/>
  </si>
  <si>
    <t>R21</t>
    <phoneticPr fontId="2"/>
  </si>
  <si>
    <t>R218</t>
    <phoneticPr fontId="2"/>
  </si>
  <si>
    <t>R22</t>
    <phoneticPr fontId="2"/>
  </si>
  <si>
    <t>R227EA</t>
    <phoneticPr fontId="2"/>
  </si>
  <si>
    <t>R23</t>
    <phoneticPr fontId="2"/>
  </si>
  <si>
    <t>R236EA</t>
    <phoneticPr fontId="2"/>
  </si>
  <si>
    <t>R236FA</t>
    <phoneticPr fontId="2"/>
  </si>
  <si>
    <t>R245CA</t>
    <phoneticPr fontId="2"/>
  </si>
  <si>
    <t>R245FA</t>
    <phoneticPr fontId="2"/>
  </si>
  <si>
    <t>R365MFC</t>
    <phoneticPr fontId="2"/>
  </si>
  <si>
    <t>R40</t>
    <phoneticPr fontId="2"/>
  </si>
  <si>
    <t>R41</t>
    <phoneticPr fontId="2"/>
  </si>
  <si>
    <t>RC318</t>
    <phoneticPr fontId="2"/>
  </si>
  <si>
    <t>RE143A</t>
    <phoneticPr fontId="2"/>
  </si>
  <si>
    <t>RE245CB2</t>
    <phoneticPr fontId="2"/>
  </si>
  <si>
    <t>RE245FA2</t>
    <phoneticPr fontId="2"/>
  </si>
  <si>
    <t>RE347MCC</t>
    <phoneticPr fontId="2"/>
  </si>
  <si>
    <t>SF6</t>
    <phoneticPr fontId="2"/>
  </si>
  <si>
    <t>SO2</t>
    <phoneticPr fontId="2"/>
  </si>
  <si>
    <t>T2BUTENE</t>
    <phoneticPr fontId="2"/>
  </si>
  <si>
    <t>TOLUENE</t>
    <phoneticPr fontId="2"/>
  </si>
  <si>
    <t>VINYLCHLORIDE</t>
    <phoneticPr fontId="2"/>
  </si>
  <si>
    <t>WATER</t>
    <phoneticPr fontId="2"/>
  </si>
  <si>
    <t>XENON</t>
    <phoneticPr fontId="2"/>
  </si>
  <si>
    <t>name/name</t>
    <phoneticPr fontId="2"/>
  </si>
  <si>
    <t>BetaT</t>
    <phoneticPr fontId="2"/>
  </si>
  <si>
    <t>GammaT</t>
    <phoneticPr fontId="2"/>
  </si>
  <si>
    <t>BetaV</t>
    <phoneticPr fontId="2"/>
  </si>
  <si>
    <t>GammaV</t>
    <phoneticPr fontId="2"/>
  </si>
  <si>
    <t>KW0</t>
  </si>
  <si>
    <t>Methane/Hydrogen                                          [C1/H2]</t>
  </si>
  <si>
    <t>KW7</t>
  </si>
  <si>
    <t>Methane/Nitrogen                                          [C1/N2]</t>
  </si>
  <si>
    <t>KW3</t>
  </si>
  <si>
    <t>Methane/Argon                                             [C1/AR]</t>
  </si>
  <si>
    <t>Methane/Oxygen                                            [C1/O2]</t>
  </si>
  <si>
    <t>Methane/Krypton                                           [C1/KR]</t>
  </si>
  <si>
    <t>XR0</t>
  </si>
  <si>
    <t>Methane/Ethylene                                          [C1/ETY]</t>
  </si>
  <si>
    <t>Methane/Ethane                                            [C1/C2]</t>
  </si>
  <si>
    <t>KW1</t>
  </si>
  <si>
    <t>Methane/Nitrous oxide                                     [C1/N2O]</t>
  </si>
  <si>
    <t>Methane/Carbon dioxide                                    [C1/CO2]</t>
  </si>
  <si>
    <t>KW4</t>
  </si>
  <si>
    <t>Methane/Hydrogen sulfide                                  [C1/H2S]</t>
  </si>
  <si>
    <t>Methane/Carbonyl sulfide                                  [C1/COS]</t>
  </si>
  <si>
    <t>Methane/Propylene                                         [C1/PRY]</t>
  </si>
  <si>
    <t>Methane/Propane                                           [C1/C3]</t>
  </si>
  <si>
    <t>KW2</t>
  </si>
  <si>
    <t>Methane/R22                                               [C1/R22]</t>
  </si>
  <si>
    <t>Methane/Ammonia                                           [C1/NH3]</t>
  </si>
  <si>
    <t>KW0</t>
    <phoneticPr fontId="2"/>
  </si>
  <si>
    <t>Methane/Dimethyl ether                                    [C1/DME]</t>
  </si>
  <si>
    <t>Methane/Isobutane                                         [C1/C4I]</t>
  </si>
  <si>
    <t>KWE</t>
  </si>
  <si>
    <t>Methane/Sulfur dioxide                                    [C1/SO2]</t>
  </si>
  <si>
    <t>Methane/Perfluorobutane                                   [C1/C4F10]</t>
  </si>
  <si>
    <t>Methane/Butane                                            [C1/C4]</t>
  </si>
  <si>
    <t>KWK</t>
  </si>
  <si>
    <t>Methane/Neopentane                                        [C1/C5A]</t>
  </si>
  <si>
    <t>Methane/Isopentane                                        [C1/C5I]</t>
  </si>
  <si>
    <t>KWI</t>
  </si>
  <si>
    <t>Methane/Pentane                                           [C1/C5]</t>
  </si>
  <si>
    <t>KWQ</t>
  </si>
  <si>
    <t>Methane/Methanol                                          [C1/MEO]</t>
  </si>
  <si>
    <t>Methane/Hexane                                            [C1/C6]</t>
  </si>
  <si>
    <t>Methane/Ethanol                                           [C1/ETO]</t>
  </si>
  <si>
    <t>Methane/Benzene                                           [C1/BEN]</t>
  </si>
  <si>
    <t>Methane/Cyclohexane                                       [C1/CC6]</t>
  </si>
  <si>
    <t>Methane/Heptane                                           [C1/C7]</t>
  </si>
  <si>
    <t>Methane/Water                                             [C1/H2O]</t>
  </si>
  <si>
    <t>Methane/Methylcyclohexane                                 [C1/C1CC6]</t>
  </si>
  <si>
    <t>Methane/Toluene                                           [C1/TOL]</t>
  </si>
  <si>
    <t>Methane/Octane                                            [C1/C8]</t>
  </si>
  <si>
    <t>Methane/Nonane                                            [C1/C9]</t>
  </si>
  <si>
    <t>Methane/Decane                                            [C1/C10]</t>
  </si>
  <si>
    <t>Methane/Dodecane                                          [C1/C12]</t>
  </si>
  <si>
    <t>Helium/Hydrogen                                           [HE/H2]</t>
  </si>
  <si>
    <t>KWL</t>
  </si>
  <si>
    <t>Helium/Neon                                               [HE/NE]</t>
  </si>
  <si>
    <t>KW6</t>
  </si>
  <si>
    <t>Helium/Nitrogen                                           [HE/N2]</t>
  </si>
  <si>
    <t>Helium/Carbon monoxide                                    [HE/CO]</t>
  </si>
  <si>
    <t>Helium/Argon                                              [HE/AR]</t>
  </si>
  <si>
    <t>Helium/Oxygen                                             [HE/O2]</t>
  </si>
  <si>
    <t>Helium/Krypton                                            [HE/KR]</t>
  </si>
  <si>
    <t>Helium/Ethane                                             [HE/C2]</t>
  </si>
  <si>
    <t>Helium/Carbon dioxide                                     [HE/CO2]</t>
  </si>
  <si>
    <t>Helium/Hydrogen sulfide                                   [HE/H2S]</t>
  </si>
  <si>
    <t>Helium/Propane                                            [HE/C3]</t>
  </si>
  <si>
    <t>Helium/Butane                                             [HE/C4]</t>
  </si>
  <si>
    <t>Helium/Isopentane                                         [HE/C5I]</t>
  </si>
  <si>
    <t>Helium/Pentane                                            [HE/C5]</t>
  </si>
  <si>
    <t>Helium/Hexane                                             [HE/C6]</t>
  </si>
  <si>
    <t>Helium/Heptane                                            [HE/C7]</t>
  </si>
  <si>
    <t>Helium/Water                                              [HE/H2O]</t>
  </si>
  <si>
    <t>Helium/Octane                                             [HE/C8]</t>
  </si>
  <si>
    <t>Helium/Nonane                                             [HE/C9]</t>
  </si>
  <si>
    <t>Helium/Decane                                             [HE/C10]</t>
  </si>
  <si>
    <t>Parahydrogen/Orthohydrogen                                [PH2/OH2]</t>
  </si>
  <si>
    <t>Hydrogen/Deuterium                                        [H2/D2]</t>
  </si>
  <si>
    <t>Hydrogen/Neon                                             [H2/NE]</t>
  </si>
  <si>
    <t>Hydrogen/Nitrogen                                         [H2/N2]</t>
  </si>
  <si>
    <t>Hydrogen/Carbon monoxide                                  [H2/CO]</t>
  </si>
  <si>
    <t>Hydrogen/Argon                                            [H2/AR]</t>
  </si>
  <si>
    <t>Hydrogen/Oxygen                                           [H2/O2]</t>
  </si>
  <si>
    <t>Hydrogen/Ethane                                           [H2/C2]</t>
  </si>
  <si>
    <t>Hydrogen/Carbon dioxide                                   [H2/CO2]</t>
  </si>
  <si>
    <t>Hydrogen/Hydrogen sulfide                                 [H2/H2S]</t>
  </si>
  <si>
    <t>Hydrogen/Propane                                          [H2/C3]</t>
  </si>
  <si>
    <t>Hydrogen/Isobutane                                        [H2/C4I]</t>
  </si>
  <si>
    <t>Hydrogen/Butane                                           [H2/C4]</t>
  </si>
  <si>
    <t>Hydrogen/Isopentane                                       [H2/C5I]</t>
  </si>
  <si>
    <t>Hydrogen/Pentane                                          [H2/C5]</t>
  </si>
  <si>
    <t>Hydrogen/Hexane                                           [H2/C6]</t>
  </si>
  <si>
    <t>Hydrogen/Heptane                                          [H2/C7]</t>
  </si>
  <si>
    <t>Hydrogen/Water                                            [H2/H2O]</t>
  </si>
  <si>
    <t>Hydrogen/Octane                                           [H2/C8]</t>
  </si>
  <si>
    <t>Hydrogen/Nonane                                           [H2/C9]</t>
  </si>
  <si>
    <t>Hydrogen/Decane                                           [H2/C10]</t>
  </si>
  <si>
    <t>Deuterium/Neon                                            [D2/NE]</t>
  </si>
  <si>
    <t>Deuterium/Nitrogen                                        [D2/N2]</t>
  </si>
  <si>
    <t>Neon/Nitrogen                                             [NE/N2]</t>
  </si>
  <si>
    <t>Neon/Argon                                                [NE/AR]</t>
  </si>
  <si>
    <t>Neon/Oxygen                                               [NE/O2]</t>
  </si>
  <si>
    <t>Neon/Krypton                                              [NE/KR]</t>
  </si>
  <si>
    <t>Neon/Xenon                                                [NE/XE]</t>
  </si>
  <si>
    <t>Nitrogen/Carbon monoxide                                  [N2/CO]</t>
  </si>
  <si>
    <t>Nitrogen/Argon                                            [N2/AR]</t>
  </si>
  <si>
    <t>Nitrogen/Oxygen                                           [N2/O2]</t>
  </si>
  <si>
    <t>Nitrogen/R14                                              [N2/R14]</t>
  </si>
  <si>
    <t>Nitrogen/Ethylene                                         [N2/ETY]</t>
  </si>
  <si>
    <t>Nitrogen/Ethane                                           [N2/C2]</t>
  </si>
  <si>
    <t>Nitrogen/R13                                              [N2/R13]</t>
  </si>
  <si>
    <t>Nitrogen/Carbon dioxide                                   [N2/CO2]</t>
  </si>
  <si>
    <t>KW5</t>
  </si>
  <si>
    <t>Nitrogen/Hydrogen sulfide                                 [N2/H2S]</t>
  </si>
  <si>
    <t>Nitrogen/Propylene                                        [N2/PRY]</t>
  </si>
  <si>
    <t>Nitrogen/Propane                                          [N2/C3]</t>
  </si>
  <si>
    <t>Nitrogen/R22                                              [N2/R22]</t>
  </si>
  <si>
    <t>Nitrogen/Ammonia                                          [N2/NH3]</t>
  </si>
  <si>
    <t>Nitrogen/R12                                              [N2/R12]</t>
  </si>
  <si>
    <t>Nitrogen/Dimethyl ether                                   [N2/DME]</t>
  </si>
  <si>
    <t>Nitrogen/R13I1                                            [N2/CF3I]</t>
  </si>
  <si>
    <t>Nitrogen/R227ea                                           [N2/R227EA]</t>
  </si>
  <si>
    <t>Nitrogen/Isobutane                                        [N2/C4I]</t>
  </si>
  <si>
    <t>Nitrogen/Butane                                           [N2/C4]</t>
  </si>
  <si>
    <t>Nitrogen/Pentane                                          [N2/C5]</t>
  </si>
  <si>
    <t>Nitrogen/Novec649                                         [N2/N649]</t>
  </si>
  <si>
    <t>KW8</t>
  </si>
  <si>
    <t>Nitrogen/Cyclopentane                                     [N2/CC5]</t>
  </si>
  <si>
    <t>Nitrogen/Methanol                                         [N2/MEO]</t>
  </si>
  <si>
    <t>Nitrogen/Hexane                                           [N2/C6]</t>
  </si>
  <si>
    <t>Nitrogen/Ethanol                                          [N2/ETO]</t>
  </si>
  <si>
    <t>Nitrogen/Benzene                                          [N2/BEN]</t>
  </si>
  <si>
    <t>Nitrogen/Cyclohexane                                      [N2/CC6]</t>
  </si>
  <si>
    <t>Nitrogen/Heptane                                          [N2/C7]</t>
  </si>
  <si>
    <t>Nitrogen/Isooctane                                        [N2/C8I]</t>
  </si>
  <si>
    <t>Nitrogen/Water                                            [N2/H2O]</t>
  </si>
  <si>
    <t>KWD</t>
  </si>
  <si>
    <t>Nitrogen/Methylcyclohexane                                [N2/C1CC6]</t>
  </si>
  <si>
    <t>Nitrogen/Toluene                                          [N2/TOL]</t>
  </si>
  <si>
    <t>Nitrogen/Octane                                           [N2/C8]</t>
  </si>
  <si>
    <t>Nitrogen/p-Xylene                                         [N2/XYP]</t>
  </si>
  <si>
    <t>Nitrogen/Nonane                                           [N2/C9]</t>
  </si>
  <si>
    <t>Nitrogen/Propylcyclohexane                                [N2/C3CC6]</t>
  </si>
  <si>
    <t>Nitrogen/Decane                                           [N2/C10]</t>
  </si>
  <si>
    <t>Nitrogen/Dodecane                                         [N2/C12]</t>
  </si>
  <si>
    <t>Carbon monoxide/Argon                                     [CO/AR]</t>
  </si>
  <si>
    <t>Carbon monoxide/Oxygen                                    [CO/O2]</t>
  </si>
  <si>
    <t>Carbon monoxide/Ethylene                                  [CO/ETY]</t>
  </si>
  <si>
    <t>Carbon monoxide/Ethane                                    [CO/C2]</t>
  </si>
  <si>
    <t>Carbon monoxide/Carbon dioxide                            [CO/CO2]</t>
  </si>
  <si>
    <t>Carbon monoxide/Hydrogen sulfide                          [CO/H2S]</t>
  </si>
  <si>
    <t>Carbon monoxide/Propylene                                 [CO/PRY]</t>
  </si>
  <si>
    <t>Carbon monoxide/Propane                                   [CO/C3]</t>
  </si>
  <si>
    <t>Carbon monoxide/Isobutane                                 [CO/C4I]</t>
  </si>
  <si>
    <t>Carbon monoxide/Butene                                    [CO/1BE]</t>
  </si>
  <si>
    <t>Carbon monoxide/Butane                                    [CO/C4]</t>
  </si>
  <si>
    <t>Carbon monoxide/Isopentane                                [CO/C5I]</t>
  </si>
  <si>
    <t>Carbon monoxide/Pentane                                   [CO/C5]</t>
  </si>
  <si>
    <t>Carbon monoxide/Hexane                                    [CO/C6]</t>
  </si>
  <si>
    <t>Carbon monoxide/Ethanol                                   [CO/ETO]</t>
  </si>
  <si>
    <t>Carbon monoxide/Benzene                                   [CO/BEN]</t>
  </si>
  <si>
    <t>Carbon monoxide/Cyclohexane                               [CO/CC6]</t>
  </si>
  <si>
    <t>Carbon monoxide/Heptane                                   [CO/C7]</t>
  </si>
  <si>
    <t>Carbon monoxide/Water                                     [CO/H2O]</t>
  </si>
  <si>
    <t>Carbon monoxide/Toluene                                   [CO/TOL]</t>
  </si>
  <si>
    <t>Carbon monoxide/Octane                                    [CO/C8]</t>
  </si>
  <si>
    <t>Carbon monoxide/p-Xylene                                  [CO/XYP]</t>
  </si>
  <si>
    <t>Carbon monoxide/m-Xylene                                  [CO/XYM]</t>
  </si>
  <si>
    <t>Carbon monoxide/Nonane                                    [CO/C9]</t>
  </si>
  <si>
    <t>Carbon monoxide/Decane                                    [CO/C10]</t>
  </si>
  <si>
    <t>Carbon monoxide/Dodecane                                  [CO/C12]</t>
  </si>
  <si>
    <t>Argon/Oxygen                                              [AR/O2]</t>
  </si>
  <si>
    <t>Argon/Krypton                                             [AR/KR]</t>
  </si>
  <si>
    <t>Argon/Ethane                                              [AR/C2]</t>
  </si>
  <si>
    <t>Argon/Carbon dioxide                                      [AR/CO2]</t>
  </si>
  <si>
    <t>KWN</t>
    <phoneticPr fontId="2"/>
  </si>
  <si>
    <t>Argon/Hydrogen sulfide                                    [AR/H2S]</t>
  </si>
  <si>
    <t>Argon/Propylene                                           [AR/PRY]</t>
  </si>
  <si>
    <t>Argon/Propane                                             [AR/C3]</t>
  </si>
  <si>
    <t>Argon/R22                                                 [AR/R22]</t>
  </si>
  <si>
    <t>Argon/Ammonia                                             [AR/NH3]</t>
  </si>
  <si>
    <t>Argon/Isobutane                                           [AR/C4I]</t>
  </si>
  <si>
    <t>Argon/Butane                                              [AR/C4]</t>
  </si>
  <si>
    <t>Argon/Neopentane                                          [AR/C5A]</t>
  </si>
  <si>
    <t>Argon/Isopentane                                          [AR/C5I]</t>
  </si>
  <si>
    <t>Argon/Pentane                                             [AR/C5]</t>
  </si>
  <si>
    <t>Argon/Cyclopentane                                        [AR/CC5]</t>
  </si>
  <si>
    <t>Argon/Methanol                                            [AR/MEO]</t>
  </si>
  <si>
    <t>Argon/Hexane                                              [AR/C6]</t>
  </si>
  <si>
    <t>Argon/Ethanol                                             [AR/ETO]</t>
  </si>
  <si>
    <t>Argon/Benzene                                             [AR/BEN]</t>
  </si>
  <si>
    <t>Argon/Heptane                                             [AR/C7]</t>
  </si>
  <si>
    <t>Argon/Water                                               [AR/H2O]</t>
  </si>
  <si>
    <t>Argon/Toluene                                             [AR/TOL]</t>
  </si>
  <si>
    <t>Argon/Octane                                              [AR/C8]</t>
  </si>
  <si>
    <t>Argon/Nonane                                              [AR/C9]</t>
  </si>
  <si>
    <t>Argon/Decane                                              [AR/C10]</t>
  </si>
  <si>
    <t>Oxygen/Krypton                                            [O2/KR]</t>
  </si>
  <si>
    <t>Oxygen/Ethane                                             [O2/C2]</t>
  </si>
  <si>
    <t>Oxygen/Nitrous oxide                                      [O2/N2O]</t>
  </si>
  <si>
    <t>Oxygen/Carbon dioxide                                     [O2/CO2]</t>
  </si>
  <si>
    <t>Oxygen/Hydrogen sulfide                                   [O2/H2S]</t>
  </si>
  <si>
    <t>Oxygen/Propylene                                          [O2/PRY]</t>
  </si>
  <si>
    <t>Oxygen/Propane                                            [O2/C3]</t>
  </si>
  <si>
    <t>Oxygen/Isobutane                                          [O2/C4I]</t>
  </si>
  <si>
    <t>Oxygen/Sulfur dioxide                                     [O2/SO2]</t>
  </si>
  <si>
    <t>Oxygen/Butane                                             [O2/C4]</t>
  </si>
  <si>
    <t>Oxygen/Isopentane                                         [O2/C5I]</t>
  </si>
  <si>
    <t>Oxygen/Pentane                                            [O2/C5]</t>
  </si>
  <si>
    <t>Oxygen/Methanol                                           [O2/MEO]</t>
  </si>
  <si>
    <t>Oxygen/Hexane                                             [O2/C6]</t>
  </si>
  <si>
    <t>Oxygen/Ethanol                                            [O2/ETO]</t>
  </si>
  <si>
    <t>Oxygen/Benzene                                            [O2/BEN]</t>
  </si>
  <si>
    <t>Oxygen/Cyclohexane                                        [O2/CC6]</t>
  </si>
  <si>
    <t>Oxygen/Heptane                                            [O2/C7]</t>
  </si>
  <si>
    <t>Oxygen/Water                                              [O2/H2O]</t>
  </si>
  <si>
    <t>Oxygen/Toluene                                            [O2/TOL]</t>
  </si>
  <si>
    <t>Oxygen/Octane                                             [O2/C8]</t>
  </si>
  <si>
    <t>Oxygen/Nonane                                             [O2/C9]</t>
  </si>
  <si>
    <t>Oxygen/Decane                                             [O2/C10]</t>
  </si>
  <si>
    <t>Krypton/Xenon                                             [KR/XE]</t>
  </si>
  <si>
    <t>Krypton/Ethane                                            [KR/C2]</t>
  </si>
  <si>
    <t>Krypton/Carbon dioxide                                    [KR/CO2]</t>
  </si>
  <si>
    <t>Krypton/Propylene                                         [KR/PRY]</t>
  </si>
  <si>
    <t>Krypton/Ammonia                                           [KR/NH3]</t>
  </si>
  <si>
    <t>R14/Ethane                                                [R14/C2]</t>
  </si>
  <si>
    <t>R14/R23                                                   [R14/R23]</t>
  </si>
  <si>
    <t>R14/R13                                                   [R14/R13]</t>
  </si>
  <si>
    <t>R14/Toluene                                               [R14/TOL]</t>
  </si>
  <si>
    <t>Xenon/Ethylene                                            [XE/ETY]</t>
  </si>
  <si>
    <t>Xenon/Ethane                                              [XE/C2]</t>
  </si>
  <si>
    <t>Xenon/Hydrogen chloride                                   [XE/HCL]</t>
  </si>
  <si>
    <t>Xenon/R41                                                 [XE/R41]</t>
  </si>
  <si>
    <t>Xenon/Sulfur hexafluoride                                 [XE/SF6]</t>
  </si>
  <si>
    <t>Xenon/Propylene                                           [XE/PRY]</t>
  </si>
  <si>
    <t>Xenon/Propane                                             [XE/C3]</t>
  </si>
  <si>
    <t>Xenon/Cyclopropane                                        [XE/CC3]</t>
  </si>
  <si>
    <t>Xenon/R40                                                 [XE/R40]</t>
  </si>
  <si>
    <t>Xenon/Cyclopentane                                        [XE/CC5]</t>
  </si>
  <si>
    <t>Xenon/Methanol                                            [XE/MEO]</t>
  </si>
  <si>
    <t>Xenon/Hexane                                              [XE/C6]</t>
  </si>
  <si>
    <t>Ethylene/Ethane                                           [ETY/C2]</t>
  </si>
  <si>
    <t>Ethylene/Carbon dioxide                                   [ETY/CO2]</t>
  </si>
  <si>
    <t>Ethylene/Propylene                                        [ETY/PRY]</t>
  </si>
  <si>
    <t>Ethylene/Propane                                          [ETY/C3]</t>
  </si>
  <si>
    <t>Ethylene/R1216                                            [ETY/R1216]</t>
  </si>
  <si>
    <t>Ethylene/Isobutane                                        [ETY/C4I]</t>
  </si>
  <si>
    <t>Ethylene/Butene                                           [ETY/1BE]</t>
  </si>
  <si>
    <t>Ethylene/Perfluorobutane                                  [ETY/C4F10]</t>
  </si>
  <si>
    <t>Ethylene/Butane                                           [ETY/C4]</t>
  </si>
  <si>
    <t>Ethylene/Isopentane                                       [ETY/C5I]</t>
  </si>
  <si>
    <t>Ethylene/Diethyl ether                                    [ETY/DEE]</t>
  </si>
  <si>
    <t>Ethylene/Pentane                                          [ETY/C5]</t>
  </si>
  <si>
    <t>Ethylene/Acetone                                          [ETY/ACT]</t>
  </si>
  <si>
    <t>Ethylene/Methanol                                         [ETY/MEO]</t>
  </si>
  <si>
    <t>Ethylene/Hexane                                           [ETY/C6]</t>
  </si>
  <si>
    <t>Ethylene/Ethanol                                          [ETY/ETO]</t>
  </si>
  <si>
    <t>Ethylene/Benzene                                          [ETY/BEN]</t>
  </si>
  <si>
    <t>Ethylene/Cyclohexane                                      [ETY/CC6]</t>
  </si>
  <si>
    <t>Ethylene/Heptane                                          [ETY/C7]</t>
  </si>
  <si>
    <t>Ethylene/Toluene                                          [ETY/TOL]</t>
  </si>
  <si>
    <t>Ethylene/Octane                                           [ETY/C8]</t>
  </si>
  <si>
    <t>Ethylene/Nonane                                           [ETY/C9]</t>
  </si>
  <si>
    <t>Ethylene/Decane                                           [ETY/C10]</t>
  </si>
  <si>
    <t>Ethane/Hydrogen chloride                                  [C2/HCL]</t>
  </si>
  <si>
    <t>Ethane/R23                                                [C2/R23]</t>
  </si>
  <si>
    <t>Ethane/Carbon dioxide                                     [C2/CO2]</t>
  </si>
  <si>
    <t>Ethane/R116                                               [C2/R116]</t>
  </si>
  <si>
    <t>Ethane/Hydrogen sulfide                                   [C2/H2S]</t>
  </si>
  <si>
    <t>Ethane/Propylene                                          [C2/PRY]</t>
  </si>
  <si>
    <t>Ethane/Propane                                            [C2/C3]</t>
  </si>
  <si>
    <t>Ethane/R218                                               [C2/R218]</t>
  </si>
  <si>
    <t>Ethane/R1216                                              [C2/R1216]</t>
  </si>
  <si>
    <t>Ethane/Dimethyl ether                                     [C2/DME]</t>
  </si>
  <si>
    <t>Ethane/Isobutane                                          [C2/C4I]</t>
  </si>
  <si>
    <t>Ethane/Perfluorobutane                                    [C2/C4F10]</t>
  </si>
  <si>
    <t>Ethane/Butane                                             [C2/C4]</t>
  </si>
  <si>
    <t>Ethane/Isopentane                                         [C2/C5I]</t>
  </si>
  <si>
    <t>Ethane/Pentane                                            [C2/C5]</t>
  </si>
  <si>
    <t>Ethane/Methanol                                           [C2/MEO]</t>
  </si>
  <si>
    <t>Ethane/Hexane                                             [C2/C6]</t>
  </si>
  <si>
    <t>Ethane/Ethanol                                            [C2/ETO]</t>
  </si>
  <si>
    <t>Ethane/Benzene                                            [C2/BEN]</t>
  </si>
  <si>
    <t>Ethane/Cyclohexane                                        [C2/CC6]</t>
  </si>
  <si>
    <t>Ethane/Heptane                                            [C2/C7]</t>
  </si>
  <si>
    <t>Ethane/Isooctane                                          [C2/C8I]</t>
  </si>
  <si>
    <t>Ethane/Water                                              [C2/H2O]</t>
  </si>
  <si>
    <t>Ethane/Methylcyclohexane                                  [C2/C1CC6]</t>
  </si>
  <si>
    <t>Ethane/Toluene                                            [C2/TOL]</t>
  </si>
  <si>
    <t>Ethane/Octane                                             [C2/C8]</t>
  </si>
  <si>
    <t>Ethane/m-Xylene                                           [C2/XYM]</t>
  </si>
  <si>
    <t>Ethane/Nonane                                             [C2/C9]</t>
  </si>
  <si>
    <t>Ethane/Propylcyclohexane                                  [C2/C3CC6]</t>
  </si>
  <si>
    <t>Ethane/Decane                                             [C2/C10]</t>
  </si>
  <si>
    <t>Ethane/Undecane                                           [C2/C11]</t>
  </si>
  <si>
    <t>Ethane/Dodecane                                           [C2/C12]</t>
  </si>
  <si>
    <t>Nitrous oxide/R125                                        [N2O/R125]</t>
  </si>
  <si>
    <t>Nitrous oxide/Dodecane                                    [N2O/C12]</t>
  </si>
  <si>
    <t>Hydrogen chloride/R41                                     [HCL/R41]</t>
  </si>
  <si>
    <t>Hydrogen chloride/R32                                     [HCL/R32]</t>
  </si>
  <si>
    <t>Hydrogen chloride/Propane                                 [HCL/C3]</t>
  </si>
  <si>
    <t>Hydrogen chloride/Chlorine                                [HCL/CL]</t>
  </si>
  <si>
    <t>Hydrogen chloride/R40                                     [HCL/R40]</t>
  </si>
  <si>
    <t>Hydrogen chloride/Sulfur dioxide                          [HCL/SO2]</t>
  </si>
  <si>
    <t>Hydrogen chloride/R142b                                   [HCL/R142B]</t>
  </si>
  <si>
    <t>Hydrogen chloride/Butane                                  [HCL/C4]</t>
  </si>
  <si>
    <t>Hydrogen chloride/Methanol                                [HCL/MEO]</t>
  </si>
  <si>
    <t>Hydrogen chloride/Hexane                                  [HCL/C6]</t>
  </si>
  <si>
    <t>R23/R13                                                   [R23/R13]</t>
  </si>
  <si>
    <t>KWT</t>
  </si>
  <si>
    <t>R23/Carbon dioxide                                        [R23/CO2]</t>
  </si>
  <si>
    <t>R23/R116                                                  [R23/R116]</t>
  </si>
  <si>
    <t>R23/Sulfur hexafluoride                                   [R23/SF6]</t>
  </si>
  <si>
    <t>R23/R32                                                   [R23/R32]</t>
  </si>
  <si>
    <t>R23/R125                                                  [R23/R125]</t>
  </si>
  <si>
    <t>R23/Propylene                                             [R23/PRY]</t>
  </si>
  <si>
    <t>R23/R143a                                                 [R23/R143A]</t>
  </si>
  <si>
    <t>R23/Propane                                               [R23/C3]</t>
  </si>
  <si>
    <t>R23/R22                                                   [R23/R22]</t>
  </si>
  <si>
    <t>R23/R12                                                   [R23/R12]</t>
  </si>
  <si>
    <t>R23/R134a                                                 [R23/R134A]</t>
  </si>
  <si>
    <t>R23/R152a                                                 [R23/R152A]</t>
  </si>
  <si>
    <t>R23/R227ea                                                [R23/R227EA]</t>
  </si>
  <si>
    <t>R23/Isobutane                                             [R23/C4I]</t>
  </si>
  <si>
    <t>R23/Butane                                                [R23/C4]</t>
  </si>
  <si>
    <t>R23/R114                                                  [R23/R114]</t>
  </si>
  <si>
    <t>R23/R11                                                   [R23/R11]</t>
  </si>
  <si>
    <t>R23/Isopentane                                            [R23/C5I]</t>
  </si>
  <si>
    <t>R23/Pentane                                               [R23/C5]</t>
  </si>
  <si>
    <t>R23/R113                                                  [R23/R113]</t>
  </si>
  <si>
    <t>R23/Ethanol                                               [R23/ETO]</t>
  </si>
  <si>
    <t>R23/Toluene                                               [R23/TOL]</t>
  </si>
  <si>
    <t>R13/Propylene                                             [R13/PRY]</t>
  </si>
  <si>
    <t>R13/Ammonia                                               [R13/NH3]</t>
  </si>
  <si>
    <t>R13/R12                                                   [R13/R12]</t>
  </si>
  <si>
    <t>R13/Isobutane                                             [R13/C4I]</t>
  </si>
  <si>
    <t>R13/Butane                                                [R13/C4]</t>
  </si>
  <si>
    <t>R13/R11                                                   [R13/R11]</t>
  </si>
  <si>
    <t>R13/R113                                                  [R13/R113]</t>
  </si>
  <si>
    <t>Carbon dioxide/R41                                        [CO2/R41]</t>
  </si>
  <si>
    <t>Carbon dioxide/R116                                       [CO2/R116]</t>
  </si>
  <si>
    <t>Carbon dioxide/Hydrogen sulfide                           [CO2/H2S]</t>
  </si>
  <si>
    <t>Carbon dioxide/R32                                        [CO2/R32]</t>
  </si>
  <si>
    <t>Carbon dioxide/Carbonyl sulfide                           [CO2/COS]</t>
  </si>
  <si>
    <t>Carbon dioxide/R125                                       [CO2/R125]</t>
  </si>
  <si>
    <t>Carbon dioxide/Propylene                                  [CO2/PRY]</t>
  </si>
  <si>
    <t>Carbon dioxide/R143a                                      [CO2/R143A]</t>
  </si>
  <si>
    <t>Carbon dioxide/Propane                                    [CO2/C3]</t>
  </si>
  <si>
    <t>Carbon dioxide/R22                                        [CO2/R22]</t>
  </si>
  <si>
    <t>Carbon dioxide/R1216                                      [CO2/R1216]</t>
  </si>
  <si>
    <t>Carbon dioxide/R12                                        [CO2/R12]</t>
  </si>
  <si>
    <t>Carbon dioxide/R1234yf                                    [CO2/R1234YF]</t>
  </si>
  <si>
    <t>Carbon dioxide/R134a                                      [CO2/R134A]</t>
  </si>
  <si>
    <t>Carbon dioxide/Dimethyl ether                             [CO2/DME]</t>
  </si>
  <si>
    <t>Carbon dioxide/R152a                                      [CO2/R152A]</t>
  </si>
  <si>
    <t>Carbon dioxide/R1234ze(E)                                 [CO2/R1234ZEE]</t>
  </si>
  <si>
    <t>Carbon dioxide/R227ea                                     [CO2/R227EA]</t>
  </si>
  <si>
    <t>Carbon dioxide/R124                                       [CO2/R124]</t>
  </si>
  <si>
    <t>Carbon dioxide/Isobutane                                  [CO2/C4I]</t>
  </si>
  <si>
    <t>Carbon dioxide/Sulfur dioxide                             [CO2/SO2]</t>
  </si>
  <si>
    <t>Carbon dioxide/R142b                                      [CO2/R142B]</t>
  </si>
  <si>
    <t>Carbon dioxide/Butene                                     [CO2/1BE]</t>
  </si>
  <si>
    <t>Carbon dioxide/Perfluorobutane                            [CO2/C4F10]</t>
  </si>
  <si>
    <t>Carbon dioxide/Butane                                     [CO2/C4]</t>
  </si>
  <si>
    <t>Carbon dioxide/Neopentane                                 [CO2/C5A]</t>
  </si>
  <si>
    <t>Carbon dioxide/R123                                       [CO2/R123]</t>
  </si>
  <si>
    <t>Carbon dioxide/Isopentane                                 [CO2/C5I]</t>
  </si>
  <si>
    <t>Carbon dioxide/Diethyl ether                              [CO2/DEE]</t>
  </si>
  <si>
    <t>Carbon dioxide/Pentane                                    [CO2/C5]</t>
  </si>
  <si>
    <t>Carbon dioxide/Novec649                                   [CO2/N649]</t>
  </si>
  <si>
    <t>Carbon dioxide/Cyclopentane                               [CO2/CC5]</t>
  </si>
  <si>
    <t>Carbon dioxide/Acetone                                    [CO2/ACT]</t>
  </si>
  <si>
    <t>Carbon dioxide/Methanol                                   [CO2/MEO]</t>
  </si>
  <si>
    <t>Carbon dioxide/Hexane                                     [CO2/C6]</t>
  </si>
  <si>
    <t>Carbon dioxide/Benzene                                    [CO2/BEN]</t>
  </si>
  <si>
    <t>Carbon dioxide/Cyclohexane                                [CO2/CC6]</t>
  </si>
  <si>
    <t>Carbon dioxide/Dimethyl carbonate                         [CO2/DMC]</t>
  </si>
  <si>
    <t>Carbon dioxide/Heptane                                    [CO2/C7]</t>
  </si>
  <si>
    <t>Carbon dioxide/Water                                      [CO2/H2O]</t>
  </si>
  <si>
    <t>KWG</t>
  </si>
  <si>
    <t>Carbon dioxide/Methylcyclohexane                          [CO2/C1CC6]</t>
  </si>
  <si>
    <t>Carbon dioxide/Toluene                                    [CO2/TOL]</t>
  </si>
  <si>
    <t>Carbon dioxide/Octane                                     [CO2/C8]</t>
  </si>
  <si>
    <t>Carbon dioxide/Ethylbenzene                               [CO2/EBE]</t>
  </si>
  <si>
    <t>Carbon dioxide/p-Xylene                                   [CO2/XYP]</t>
  </si>
  <si>
    <t>Carbon dioxide/o-Xylene                                   [CO2/XYO]</t>
  </si>
  <si>
    <t>Carbon dioxide/Nonane                                     [CO2/C9]</t>
  </si>
  <si>
    <t>Carbon dioxide/Decane                                     [CO2/C10]</t>
  </si>
  <si>
    <t>Carbon dioxide/Undecane                                   [CO2/C11]</t>
  </si>
  <si>
    <t>Carbon dioxide/Dodecane                                   [CO2/C12]</t>
  </si>
  <si>
    <t>Carbon dioxide/Methyl stearate                            [CO2/MSTRT]</t>
  </si>
  <si>
    <t>R41/R40                                                   [R41/R40]</t>
  </si>
  <si>
    <t>R41/Toluene                                               [R41/TOL]</t>
  </si>
  <si>
    <t>R116/Propylene                                            [R116/PRY]</t>
  </si>
  <si>
    <t>R116/R143a                                                [R116/R143A]</t>
  </si>
  <si>
    <t>R116/Propane                                              [R116/C3]</t>
  </si>
  <si>
    <t>R116/R22                                                  [R116/R22]</t>
  </si>
  <si>
    <t>R116/R134a                                                [R116/R134A]</t>
  </si>
  <si>
    <t>Sulfur hexafluoride/R32                                   [SF6/R32]</t>
  </si>
  <si>
    <t>Sulfur hexafluoride/Propane                               [SF6/C3]</t>
  </si>
  <si>
    <t>Sulfur hexafluoride/Pentane                               [SF6/C5]</t>
  </si>
  <si>
    <t>Sulfur hexafluoride/R113                                  [SF6/R113]</t>
  </si>
  <si>
    <t>Hydrogen sulfide/Carbonyl sulfide                         [H2S/COS]</t>
  </si>
  <si>
    <t>Hydrogen sulfide/Propane                                  [H2S/C3]</t>
  </si>
  <si>
    <t>Hydrogen sulfide/Isobutane                                [H2S/C4I]</t>
  </si>
  <si>
    <t>Hydrogen sulfide/Butane                                   [H2S/C4]</t>
  </si>
  <si>
    <t>Hydrogen sulfide/Neopentane                               [H2S/C5A]</t>
  </si>
  <si>
    <t>Hydrogen sulfide/Isopentane                               [H2S/C5I]</t>
  </si>
  <si>
    <t>Hydrogen sulfide/Pentane                                  [H2S/C5]</t>
  </si>
  <si>
    <t>Hydrogen sulfide/Acetone                                  [H2S/ACT]</t>
  </si>
  <si>
    <t>Hydrogen sulfide/Methanol                                 [H2S/MEO]</t>
  </si>
  <si>
    <t>Hydrogen sulfide/Hexane                                   [H2S/C6]</t>
  </si>
  <si>
    <t>Hydrogen sulfide/Benzene                                  [H2S/BEN]</t>
  </si>
  <si>
    <t>Hydrogen sulfide/Cyclohexane                              [H2S/CC6]</t>
  </si>
  <si>
    <t>Hydrogen sulfide/Heptane                                  [H2S/C7]</t>
  </si>
  <si>
    <t>Hydrogen sulfide/Isooctane                                [H2S/C8I]</t>
  </si>
  <si>
    <t>Hydrogen sulfide/Water                                    [H2S/H2O]</t>
  </si>
  <si>
    <t>Hydrogen sulfide/Methylcyclohexane                        [H2S/C1CC6]</t>
  </si>
  <si>
    <t>Hydrogen sulfide/Toluene                                  [H2S/TOL]</t>
  </si>
  <si>
    <t>Hydrogen sulfide/Octane                                   [H2S/C8]</t>
  </si>
  <si>
    <t>Hydrogen sulfide/m-Xylene                                 [H2S/XYM]</t>
  </si>
  <si>
    <t>Hydrogen sulfide/Nonane                                   [H2S/C9]</t>
  </si>
  <si>
    <t>Hydrogen sulfide/Propylcyclohexane                        [H2S/C3CC6]</t>
  </si>
  <si>
    <t>Hydrogen sulfide/Decane                                   [H2S/C10]</t>
  </si>
  <si>
    <t>Hydrogen sulfide/Ethylene glycol                          [H2S/EGLY]</t>
  </si>
  <si>
    <t>Hydrogen sulfide/Dodecane                                 [H2S/C12]</t>
  </si>
  <si>
    <t>R32/R125                                                  [R32/R125]</t>
  </si>
  <si>
    <t>KWR</t>
  </si>
  <si>
    <t>R32/Propylene                                             [R32/PRY]</t>
  </si>
  <si>
    <t>R32/R143a                                                 [R32/R143A]</t>
  </si>
  <si>
    <t>R32/Propane                                               [R32/C3]</t>
  </si>
  <si>
    <t>R32/R22                                                   [R32/R22]</t>
  </si>
  <si>
    <t>R32/R115                                                  [R32/R115]</t>
  </si>
  <si>
    <t>R32/R161                                                  [R32/R161]</t>
  </si>
  <si>
    <t>R32/R12                                                   [R32/R12]</t>
  </si>
  <si>
    <t>R32/R1234yf                                               [R32/R1234YF]</t>
  </si>
  <si>
    <t>R32/R134a                                                 [R32/R134A]</t>
  </si>
  <si>
    <t>KWS</t>
  </si>
  <si>
    <t>R32/Dimethyl ether                                        [R32/DME]</t>
  </si>
  <si>
    <t>R32/R152a                                                 [R32/R152A]</t>
  </si>
  <si>
    <t>R32/R1234ze(E)                                            [R32/R1234ZEE]</t>
  </si>
  <si>
    <t>R32/R227ea                                                [R32/R227EA]</t>
  </si>
  <si>
    <t>R32/Isobutane                                             [R32/C4I]</t>
  </si>
  <si>
    <t>R32/Sulfur dioxide                                        [R32/SO2]</t>
  </si>
  <si>
    <t>R32/R142b                                                 [R32/R142B]</t>
  </si>
  <si>
    <t>R32/Butene                                                [R32/1BE]</t>
  </si>
  <si>
    <t>R32/R236fa                                                [R32/R236FA]</t>
  </si>
  <si>
    <t>R32/Butane                                                [R32/C4]</t>
  </si>
  <si>
    <t>R32/R236ea                                                [R32/R236EA]</t>
  </si>
  <si>
    <t>R32/R123                                                  [R32/R123]</t>
  </si>
  <si>
    <t>R32/Isopentane                                            [R32/C5I]</t>
  </si>
  <si>
    <t>R32/Methanol                                              [R32/MEO]</t>
  </si>
  <si>
    <t>R32/Ethanol                                               [R32/ETO]</t>
  </si>
  <si>
    <t>R32/Toluene                                               [R32/TOL]</t>
  </si>
  <si>
    <t>Carbonyl sulfide/Propane                                  [COS/C3]</t>
  </si>
  <si>
    <t>Carbonyl sulfide/Methanol                                 [COS/MEO]</t>
  </si>
  <si>
    <t>R125/Propylene                                            [R125/PRY]</t>
  </si>
  <si>
    <t>R125/R143a                                                [R125/R143A]</t>
  </si>
  <si>
    <t>R125/Propane                                              [R125/C3]</t>
  </si>
  <si>
    <t>R125/R22                                                  [R125/R22]</t>
  </si>
  <si>
    <t>R125/R115                                                 [R125/R115]</t>
  </si>
  <si>
    <t>R125/R161                                                 [R125/R161]</t>
  </si>
  <si>
    <t>R125/Ammonia                                              [R125/NH3]</t>
  </si>
  <si>
    <t>R125/Cyclopropane                                         [R125/CC3]</t>
  </si>
  <si>
    <t>R125/R1234yf                                              [R125/R1234YF]</t>
  </si>
  <si>
    <t>R125/R134a                                                [R125/R134A]</t>
  </si>
  <si>
    <t>R125/Dimethyl ether                                       [R125/DME]</t>
  </si>
  <si>
    <t>R125/R152a                                                [R125/R152A]</t>
  </si>
  <si>
    <t>R125/RE143a                                               [R125/RE143A]</t>
  </si>
  <si>
    <t>R125/R1234ze(E)                                           [R125/R1234ZEE]</t>
  </si>
  <si>
    <t>R125/R227ea                                               [R125/R227EA]</t>
  </si>
  <si>
    <t>R125/Isobutane                                            [R125/C4I]</t>
  </si>
  <si>
    <t>R125/R236fa                                               [R125/R236FA]</t>
  </si>
  <si>
    <t>R125/Butane                                               [R125/C4]</t>
  </si>
  <si>
    <t>R125/R236ea                                               [R125/R236EA]</t>
  </si>
  <si>
    <t>R125/R245fa                                               [R125/R245FA]</t>
  </si>
  <si>
    <t>R125/Isopentane                                           [R125/C5I]</t>
  </si>
  <si>
    <t>R125/Ethanol                                              [R125/ETO]</t>
  </si>
  <si>
    <t>Propylene/Propane                                         [PRY/C3]</t>
  </si>
  <si>
    <t>Propylene/R22                                             [PRY/R22]</t>
  </si>
  <si>
    <t>Propylene/R115                                            [PRY/R115]</t>
  </si>
  <si>
    <t>Propylene/Ammonia                                         [PRY/NH3]</t>
  </si>
  <si>
    <t>Propylene/R1216                                           [PRY/R1216]</t>
  </si>
  <si>
    <t>Propylene/R12                                             [PRY/R12]</t>
  </si>
  <si>
    <t>Propylene/R134a                                           [PRY/R134A]</t>
  </si>
  <si>
    <t>Propylene/Dimethyl ether                                  [PRY/DME]</t>
  </si>
  <si>
    <t>Propylene/R152a                                           [PRY/R152A]</t>
  </si>
  <si>
    <t>Propylene/Isobutane                                       [PRY/C4I]</t>
  </si>
  <si>
    <t>Propylene/R142b                                           [PRY/R142B]</t>
  </si>
  <si>
    <t>Propylene/Butene                                          [PRY/1BE]</t>
  </si>
  <si>
    <t>Propylene/Butane                                          [PRY/C4]</t>
  </si>
  <si>
    <t>Propylene/R114                                            [PRY/R114]</t>
  </si>
  <si>
    <t>Propylene/Isopentane                                      [PRY/C5I]</t>
  </si>
  <si>
    <t>Propylene/Pentane                                         [PRY/C5]</t>
  </si>
  <si>
    <t>Propylene/Acetone                                         [PRY/ACT]</t>
  </si>
  <si>
    <t>Propylene/Methanol                                        [PRY/MEO]</t>
  </si>
  <si>
    <t>Propylene/Hexane                                          [PRY/C6]</t>
  </si>
  <si>
    <t>Propylene/Ethanol                                         [PRY/ETO]</t>
  </si>
  <si>
    <t>Propylene/Benzene                                         [PRY/BEN]</t>
  </si>
  <si>
    <t>Propylene/Cyclohexane                                     [PRY/CC6]</t>
  </si>
  <si>
    <t>Propylene/Heptane                                         [PRY/C7]</t>
  </si>
  <si>
    <t>Propylene/Isooctane                                       [PRY/C8I]</t>
  </si>
  <si>
    <t>Propylene/Water                                           [PRY/H2O]</t>
  </si>
  <si>
    <t>Propylene/Toluene                                         [PRY/TOL]</t>
  </si>
  <si>
    <t>Propylene/Octane                                          [PRY/C8]</t>
  </si>
  <si>
    <t>Propylene/p-Xylene                                        [PRY/XYP]</t>
  </si>
  <si>
    <t>Propylene/m-Xylene                                        [PRY/XYM]</t>
  </si>
  <si>
    <t>Propylene/Nonane                                          [PRY/C9]</t>
  </si>
  <si>
    <t>Propylene/Decane                                          [PRY/C10]</t>
  </si>
  <si>
    <t>R143a/Propane                                             [R143A/C3]</t>
  </si>
  <si>
    <t>R143a/R22                                                 [R143A/R22]</t>
  </si>
  <si>
    <t>R143a/R161                                                [R143A/R161]</t>
  </si>
  <si>
    <t>R143a/R12                                                 [R143A/R12]</t>
  </si>
  <si>
    <t>R143a/R1234yf                                             [R143A/R1234YF]</t>
  </si>
  <si>
    <t>R143a/R134a                                               [R143A/R134A]</t>
  </si>
  <si>
    <t>R143a/Dimethyl ether                                      [R143A/DME]</t>
  </si>
  <si>
    <t>R143a/R152a                                               [R143A/R152A]</t>
  </si>
  <si>
    <t>R143a/Isobutane                                           [R143A/C4I]</t>
  </si>
  <si>
    <t>R143a/Isobutene                                           [R143A/IBE]</t>
  </si>
  <si>
    <t>R143a/R236fa                                              [R143A/R236FA]</t>
  </si>
  <si>
    <t>R143a/Butane                                              [R143A/C4]</t>
  </si>
  <si>
    <t>Propane/R22                                               [C3/R22]</t>
  </si>
  <si>
    <t>Propane/R115                                              [C3/R115]</t>
  </si>
  <si>
    <t>Propane/Ammonia                                           [C3/NH3]</t>
  </si>
  <si>
    <t>Propane/Cyclopropane                                      [C3/CC3]</t>
  </si>
  <si>
    <t>Propane/R1216                                             [C3/R1216]</t>
  </si>
  <si>
    <t>Propane/R134a                                             [C3/R134A]</t>
  </si>
  <si>
    <t>Propane/Dimethyl ether                                    [C3/DME]</t>
  </si>
  <si>
    <t>Propane/R152a                                             [C3/R152A]</t>
  </si>
  <si>
    <t>Propane/R13I1                                             [C3/CF3I]</t>
  </si>
  <si>
    <t>Propane/R227ea                                            [C3/R227EA]</t>
  </si>
  <si>
    <t>Propane/Isobutane                                         [C3/C4I]</t>
  </si>
  <si>
    <t>Propane/Sulfur dioxide                                    [C3/SO2]</t>
  </si>
  <si>
    <t>Propane/Isobutene                                         [C3/IBE]</t>
  </si>
  <si>
    <t>Propane/RC318                                             [C3/RC318]</t>
  </si>
  <si>
    <t>Propane/Perfluorobutane                                   [C3/C4F10]</t>
  </si>
  <si>
    <t>Propane/R236fa                                            [C3/R236FA]</t>
  </si>
  <si>
    <t>Propane/Butane                                            [C3/C4]</t>
  </si>
  <si>
    <t>Propane/R114                                              [C3/R114]</t>
  </si>
  <si>
    <t>Propane/R236ea                                            [C3/R236EA]</t>
  </si>
  <si>
    <t>Propane/Neopentane                                        [C3/C5A]</t>
  </si>
  <si>
    <t>Propane/R245fa                                            [C3/R245FA]</t>
  </si>
  <si>
    <t>Propane/Isopentane                                        [C3/C5I]</t>
  </si>
  <si>
    <t>Propane/Pentane                                           [C3/C5]</t>
  </si>
  <si>
    <t>Propane/R113                                              [C3/R113]</t>
  </si>
  <si>
    <t>Propane/Acetone                                           [C3/ACT]</t>
  </si>
  <si>
    <t>Propane/Isohexane                                         [C3/C6I]</t>
  </si>
  <si>
    <t>Propane/Methanol                                          [C3/MEO]</t>
  </si>
  <si>
    <t>Propane/Hexane                                            [C3/C6]</t>
  </si>
  <si>
    <t>Propane/Ethanol                                           [C3/ETO]</t>
  </si>
  <si>
    <t>Propane/Benzene                                           [C3/BEN]</t>
  </si>
  <si>
    <t>Propane/Cyclohexane                                       [C3/CC6]</t>
  </si>
  <si>
    <t>Propane/Heptane                                           [C3/C7]</t>
  </si>
  <si>
    <t>Propane/Water                                             [C3/H2O]</t>
  </si>
  <si>
    <t>Propane/Methylcyclohexane                                 [C3/C1CC6]</t>
  </si>
  <si>
    <t>Propane/Toluene                                           [C3/TOL]</t>
  </si>
  <si>
    <t>Propane/Octane                                            [C3/C8]</t>
  </si>
  <si>
    <t>Propane/m-Xylene                                          [C3/XYM]</t>
  </si>
  <si>
    <t>Propane/Nonane                                            [C3/C9]</t>
  </si>
  <si>
    <t>Propane/Propylcyclohexane                                 [C3/C3CC6]</t>
  </si>
  <si>
    <t>Propane/Decane                                            [C3/C10]</t>
  </si>
  <si>
    <t>Propane/Dodecane                                          [C3/C12]</t>
  </si>
  <si>
    <t>Propane/Methyl palmitate                                  [C3/MPLMT]</t>
  </si>
  <si>
    <t>R22/R115                                                  [R22/R115]</t>
  </si>
  <si>
    <t>R22/R218                                                  [R22/R218]</t>
  </si>
  <si>
    <t>R22/R1216                                                 [R22/R1216]</t>
  </si>
  <si>
    <t>R22/R12                                                   [R22/R12]</t>
  </si>
  <si>
    <t>R22/R134a                                                 [R22/R134A]</t>
  </si>
  <si>
    <t>R22/Dimethyl ether                                        [R22/DME]</t>
  </si>
  <si>
    <t>R22/R152a                                                 [R22/R152A]</t>
  </si>
  <si>
    <t>R22/R124                                                  [R22/R124]</t>
  </si>
  <si>
    <t>R22/R142b                                                 [R22/R142B]</t>
  </si>
  <si>
    <t>R22/RC318                                                 [R22/RC318]</t>
  </si>
  <si>
    <t>R22/R114                                                  [R22/R114]</t>
  </si>
  <si>
    <t>R22/R11                                                   [R22/R11]</t>
  </si>
  <si>
    <t>R22/R123                                                  [R22/R123]</t>
  </si>
  <si>
    <t>R22/Pentane                                               [R22/C5]</t>
  </si>
  <si>
    <t>R22/R113                                                  [R22/R113]</t>
  </si>
  <si>
    <t>R22/Acetone                                               [R22/ACT]</t>
  </si>
  <si>
    <t>R22/Methanol                                              [R22/MEO]</t>
  </si>
  <si>
    <t>R22/Hexane                                                [R22/C6]</t>
  </si>
  <si>
    <t>R22/Ethanol                                               [R22/ETO]</t>
  </si>
  <si>
    <t>R22/Benzene                                               [R22/BEN]</t>
  </si>
  <si>
    <t>R22/Cyclohexane                                           [R22/CC6]</t>
  </si>
  <si>
    <t>R115/R114                                                 [R115/R114]</t>
  </si>
  <si>
    <t>R161/R1234yf                                              [R161/R1234YF]</t>
  </si>
  <si>
    <t>R161/R134a                                                [R161/R134A]</t>
  </si>
  <si>
    <t>R161/R227ea                                               [R161/R227EA]</t>
  </si>
  <si>
    <t>R218/R134a                                                [R218/R134A]</t>
  </si>
  <si>
    <t>R218/Isobutane                                            [R218/C4I]</t>
  </si>
  <si>
    <t>R218/RC318                                                [R218/RC318]</t>
  </si>
  <si>
    <t>Ammonia/R134a                                             [NH3/R134A]</t>
  </si>
  <si>
    <t>Ammonia/Dimethyl ether                                    [NH3/DME]</t>
  </si>
  <si>
    <t>Ammonia/Propyne                                           [NH3/PPY]</t>
  </si>
  <si>
    <t>Ammonia/Isobutane                                         [NH3/C4I]</t>
  </si>
  <si>
    <t>Ammonia/Butane                                            [NH3/C4]</t>
  </si>
  <si>
    <t>Ammonia/Isopentane                                        [NH3/C5I]</t>
  </si>
  <si>
    <t>Ammonia/Pentane                                           [NH3/C5]</t>
  </si>
  <si>
    <t>Ammonia/Methanol                                          [NH3/MEO]</t>
  </si>
  <si>
    <t>Ammonia/Hexane                                            [NH3/C6]</t>
  </si>
  <si>
    <t>Ammonia/Ethanol                                           [NH3/ETO]</t>
  </si>
  <si>
    <t>Ammonia/Benzene                                           [NH3/BEN]</t>
  </si>
  <si>
    <t>Ammonia/Cyclohexane                                       [NH3/CC6]</t>
  </si>
  <si>
    <t>Ammonia/Heptane                                           [NH3/C7]</t>
  </si>
  <si>
    <t>Ammonia/Water                                             [NH3/H2O]</t>
  </si>
  <si>
    <t>Ammonia/Octane                                            [NH3/C8]</t>
  </si>
  <si>
    <t>Ammonia/m-Xylene                                          [NH3/XYM]</t>
  </si>
  <si>
    <t>Cyclopropane/R134a                                        [CC3/R134A]</t>
  </si>
  <si>
    <t>R1216/R12                                                 [R1216/R12]</t>
  </si>
  <si>
    <t>R1216/Butene                                              [R1216/1BE]</t>
  </si>
  <si>
    <t>R1216/RC318                                               [R1216/RC318]</t>
  </si>
  <si>
    <t>R1216/R123                                                [R1216/R123]</t>
  </si>
  <si>
    <t>R12/R134a                                                 [R12/R134A]</t>
  </si>
  <si>
    <t>R12/R152a                                                 [R12/R152A]</t>
  </si>
  <si>
    <t>R12/R142b                                                 [R12/R142B]</t>
  </si>
  <si>
    <t>R12/RC318                                                 [R12/RC318]</t>
  </si>
  <si>
    <t>R12/R114                                                  [R12/R114]</t>
  </si>
  <si>
    <t>R12/R11                                                   [R12/R11]</t>
  </si>
  <si>
    <t>R12/Diethyl ether                                         [R12/DEE]</t>
  </si>
  <si>
    <t>R12/R113                                                  [R12/R113]</t>
  </si>
  <si>
    <t>R12/Cyclohexane                                           [R12/CC6]</t>
  </si>
  <si>
    <t>R12/Heptane                                               [R12/C7]</t>
  </si>
  <si>
    <t>R12/Octane                                                [R12/C8]</t>
  </si>
  <si>
    <t>R1234yf/R134a                                             [R1234YF/R134A]</t>
  </si>
  <si>
    <t>R1234yf/R152a                                             [R1234YF/R152A]</t>
  </si>
  <si>
    <t>R1234yf/R1234ze(E)                                        [R1234YF/R1234ZEE]</t>
  </si>
  <si>
    <t>R1234yf/R227ea                                            [R1234YF/R227EA]</t>
  </si>
  <si>
    <t>R1234yf/Isobutane                                         [R1234YF/C4I]</t>
  </si>
  <si>
    <t>R134a/Dimethyl ether                                      [R134A/DME]</t>
  </si>
  <si>
    <t>R134a/R152a                                               [R134A/R152A]</t>
  </si>
  <si>
    <t>R134a/RE143a                                              [R134A/RE143A]</t>
  </si>
  <si>
    <t>R134a/R1234ze(E)                                          [R134A/R1234ZEE]</t>
  </si>
  <si>
    <t>R134a/R227ea                                              [R134A/R227EA]</t>
  </si>
  <si>
    <t>R134a/R124                                                [R134A/R124]</t>
  </si>
  <si>
    <t>R134a/Isobutane                                           [R134A/C4I]</t>
  </si>
  <si>
    <t>R134a/R142b                                               [R134A/R142B]</t>
  </si>
  <si>
    <t>R134a/R236fa                                              [R134A/R236FA]</t>
  </si>
  <si>
    <t>R134a/Butane                                              [R134A/C4]</t>
  </si>
  <si>
    <t>R134a/R245fa                                              [R134A/R245FA]</t>
  </si>
  <si>
    <t>R134a/R123                                                [R134A/R123]</t>
  </si>
  <si>
    <t>R134a/Isopentane                                          [R134A/C5I]</t>
  </si>
  <si>
    <t>R134a/R141b                                               [R134A/R141B]</t>
  </si>
  <si>
    <t>R134a/Methanol                                            [R134A/MEO]</t>
  </si>
  <si>
    <t>R134a/Ethanol                                             [R134A/ETO]</t>
  </si>
  <si>
    <t>Dimethyl ether/R40                                        [DME/R40]</t>
  </si>
  <si>
    <t>Dimethyl ether/R227ea                                     [DME/R227EA]</t>
  </si>
  <si>
    <t>Dimethyl ether/Isobutane                                  [DME/C4I]</t>
  </si>
  <si>
    <t>Dimethyl ether/Sulfur dioxide                             [DME/SO2]</t>
  </si>
  <si>
    <t>Dimethyl ether/Butene                                     [DME/1BE]</t>
  </si>
  <si>
    <t>Dimethyl ether/Perfluorobutane                            [DME/C4F10]</t>
  </si>
  <si>
    <t>Dimethyl ether/R236fa                                     [DME/R236FA]</t>
  </si>
  <si>
    <t>Dimethyl ether/Butane                                     [DME/C4]</t>
  </si>
  <si>
    <t>Dimethyl ether/R236ea                                     [DME/R236EA]</t>
  </si>
  <si>
    <t>Dimethyl ether/Pentane                                    [DME/C5]</t>
  </si>
  <si>
    <t>Dimethyl ether/Methanol                                   [DME/MEO]</t>
  </si>
  <si>
    <t>Dimethyl ether/Hexane                                     [DME/C6]</t>
  </si>
  <si>
    <t>Dimethyl ether/Ethanol                                    [DME/ETO]</t>
  </si>
  <si>
    <t>Dimethyl ether/Benzene                                    [DME/BEN]</t>
  </si>
  <si>
    <t>Dimethyl ether/Dimethyl carbonate                         [DME/DMC]</t>
  </si>
  <si>
    <t>Dimethyl ether/Toluene                                    [DME/TOL]</t>
  </si>
  <si>
    <t>Dimethyl ether/Decane                                     [DME/C10]</t>
  </si>
  <si>
    <t>Dimethyl ether/Dodecane                                   [DME/C12]</t>
  </si>
  <si>
    <t>R152a/R13I1                                               [R152A/CF3I]</t>
  </si>
  <si>
    <t>R152a/R227ea                                              [R152A/R227EA]</t>
  </si>
  <si>
    <t>R152a/R124                                                [R152A/R124]</t>
  </si>
  <si>
    <t>R152a/Isobutane                                           [R152A/C4I]</t>
  </si>
  <si>
    <t>R152a/R142b                                               [R152A/R142B]</t>
  </si>
  <si>
    <t>R152a/Isobutene                                           [R152A/IBE]</t>
  </si>
  <si>
    <t>R152a/Butane                                              [R152A/C4]</t>
  </si>
  <si>
    <t>R152a/R114                                                [R152A/R114]</t>
  </si>
  <si>
    <t>R152a/Pentane                                             [R152A/C5]</t>
  </si>
  <si>
    <t>R152a/R113                                                [R152A/R113]</t>
  </si>
  <si>
    <t>R152a/Methanol                                            [R152A/MEO]</t>
  </si>
  <si>
    <t>R152a/Ethanol                                             [R152A/ETO]</t>
  </si>
  <si>
    <t>R40/Isobutene                                             [R40/IBE]</t>
  </si>
  <si>
    <t>R13I1/Isobutane                                           [CF3I/C4I]</t>
  </si>
  <si>
    <t>R1234ze(E)/Pentane                                        [R1234ZEE/C5]</t>
  </si>
  <si>
    <t>R227ea/Isobutane                                          [R227EA/C4I]</t>
  </si>
  <si>
    <t>R227ea/Isobutene                                          [R227EA/IBE]</t>
  </si>
  <si>
    <t>R227ea/Butane                                             [R227EA/C4]</t>
  </si>
  <si>
    <t>R124/R142b                                                [R124/R142B]</t>
  </si>
  <si>
    <t>Isobutane/Isobutene                                       [C4I/IBE]</t>
  </si>
  <si>
    <t>Isobutane/Butene                                          [C4I/1BE]</t>
  </si>
  <si>
    <t>Isobutane/Butane                                          [C4I/C4]</t>
  </si>
  <si>
    <t>Isobutane/R245fa                                          [C4I/R245FA]</t>
  </si>
  <si>
    <t>Isobutane/Isopentane                                      [C4I/C5I]</t>
  </si>
  <si>
    <t>Isobutane/Pentane                                         [C4I/C5]</t>
  </si>
  <si>
    <t>Isobutane/Acetone                                         [C4I/ACT]</t>
  </si>
  <si>
    <t>Isobutane/Methanol                                        [C4I/MEO]</t>
  </si>
  <si>
    <t>Isobutane/Hexane                                          [C4I/C6]</t>
  </si>
  <si>
    <t>Isobutane/Ethanol                                         [C4I/ETO]</t>
  </si>
  <si>
    <t>Isobutane/Benzene                                         [C4I/BEN]</t>
  </si>
  <si>
    <t>Isobutane/Cyclohexane                                     [C4I/CC6]</t>
  </si>
  <si>
    <t>Isobutane/Heptane                                         [C4I/C7]</t>
  </si>
  <si>
    <t>Isobutane/Water                                           [C4I/H2O]</t>
  </si>
  <si>
    <t>Isobutane/Methylcyclohexane                               [C4I/C1CC6]</t>
  </si>
  <si>
    <t>Isobutane/Toluene                                         [C4I/TOL]</t>
  </si>
  <si>
    <t>Isobutane/Octane                                          [C4I/C8]</t>
  </si>
  <si>
    <t>Isobutane/Nonane                                          [C4I/C9]</t>
  </si>
  <si>
    <t>Isobutane/Decane                                          [C4I/C10]</t>
  </si>
  <si>
    <t>Isobutane/Dodecane                                        [C4I/C12]</t>
  </si>
  <si>
    <t>Sulfur dioxide/Isobutene                                  [SO2/IBE]</t>
  </si>
  <si>
    <t>Sulfur dioxide/Diethyl ether                              [SO2/DEE]</t>
  </si>
  <si>
    <t>Sulfur dioxide/Acetone                                    [SO2/ACT]</t>
  </si>
  <si>
    <t>Sulfur dioxide/Methanol                                   [SO2/MEO]</t>
  </si>
  <si>
    <t>Sulfur dioxide/Ethanol                                    [SO2/ETO]</t>
  </si>
  <si>
    <t>Sulfur dioxide/Benzene                                    [SO2/BEN]</t>
  </si>
  <si>
    <t>Sulfur dioxide/Water                                      [SO2/H2O]</t>
  </si>
  <si>
    <t>Sulfur dioxide/Toluene                                    [SO2/TOL]</t>
  </si>
  <si>
    <t>Sulfur dioxide/Ethylene glycol                            [SO2/EGLY]</t>
  </si>
  <si>
    <t>R142b/R141b                                               [R142B/R141B]</t>
  </si>
  <si>
    <t>R142b/R113                                                [R142B/R113]</t>
  </si>
  <si>
    <t>Isobutene/Butane                                          [IBE/C4]</t>
  </si>
  <si>
    <t>Isobutene/Acetone                                         [IBE/ACT]</t>
  </si>
  <si>
    <t>Isobutene/Methanol                                        [IBE/MEO]</t>
  </si>
  <si>
    <t>Isobutene/Ethanol                                         [IBE/ETO]</t>
  </si>
  <si>
    <t>Isobutene/Benzene                                         [IBE/BEN]</t>
  </si>
  <si>
    <t>Isobutene/Cyclohexane                                     [IBE/CC6]</t>
  </si>
  <si>
    <t>Isobutene/Octane                                          [IBE/C8]</t>
  </si>
  <si>
    <t>Butene/Perfluorobutane                                    [1BE/C4F10]</t>
  </si>
  <si>
    <t>Butene/Butane                                             [1BE/C4]</t>
  </si>
  <si>
    <t>Butene/Acetone                                            [1BE/ACT]</t>
  </si>
  <si>
    <t>Butene/Methanol                                           [1BE/MEO]</t>
  </si>
  <si>
    <t>Butene/Ethanol                                            [1BE/ETO]</t>
  </si>
  <si>
    <t>Butene/Benzene                                            [1BE/BEN]</t>
  </si>
  <si>
    <t>Butene/Cyclohexane                                        [1BE/CC6]</t>
  </si>
  <si>
    <t>Perfluorobutane/R365mfc                                   [C4F10/R365MFC]</t>
  </si>
  <si>
    <t>Butane/trans-Butene                                       [C4/T2B]</t>
  </si>
  <si>
    <t>Butane/cis-Butene                                         [C4/C2B]</t>
  </si>
  <si>
    <t>Butane/R245fa                                             [C4/R245FA]</t>
  </si>
  <si>
    <t>Butane/Isopentane                                         [C4/C5I]</t>
  </si>
  <si>
    <t>Butane/Pentane                                            [C4/C5]</t>
  </si>
  <si>
    <t>Butane/R113                                               [C4/R113]</t>
  </si>
  <si>
    <t>Butane/Acetone                                            [C4/ACT]</t>
  </si>
  <si>
    <t>Butane/Methanol                                           [C4/MEO]</t>
  </si>
  <si>
    <t>Butane/Hexane                                             [C4/C6]</t>
  </si>
  <si>
    <t>Butane/Ethanol                                            [C4/ETO]</t>
  </si>
  <si>
    <t>Butane/Benzene                                            [C4/BEN]</t>
  </si>
  <si>
    <t>Butane/Cyclohexane                                        [C4/CC6]</t>
  </si>
  <si>
    <t>Butane/Heptane                                            [C4/C7]</t>
  </si>
  <si>
    <t>Butane/Water                                              [C4/H2O]</t>
  </si>
  <si>
    <t>Butane/Methylcyclohexane                                  [C4/C1CC6]</t>
  </si>
  <si>
    <t>Butane/Toluene                                            [C4/TOL]</t>
  </si>
  <si>
    <t>Butane/Octane                                             [C4/C8]</t>
  </si>
  <si>
    <t>Butane/Nonane                                             [C4/C9]</t>
  </si>
  <si>
    <t>Butane/Decane                                             [C4/C10]</t>
  </si>
  <si>
    <t>Butane/Dodecane                                           [C4/C12]</t>
  </si>
  <si>
    <t>Butane/Methyl palmitate                                   [C4/MPLMT]</t>
  </si>
  <si>
    <t>trans-Butene/cis-Butene                                   [T2B/C2B]</t>
  </si>
  <si>
    <t>trans-Butene/Acetone                                      [T2B/ACT]</t>
  </si>
  <si>
    <t>trans-Butene/Methanol                                     [T2B/MEO]</t>
  </si>
  <si>
    <t>trans-Butene/Ethanol                                      [T2B/ETO]</t>
  </si>
  <si>
    <t>R114/R21                                                  [R114/R21]</t>
  </si>
  <si>
    <t>R114/Pentane                                              [R114/C5]</t>
  </si>
  <si>
    <t>R114/R113                                                 [R114/R113]</t>
  </si>
  <si>
    <t>R114/Hexane                                               [R114/C6]</t>
  </si>
  <si>
    <t>R114/Ethanol                                              [R114/ETO]</t>
  </si>
  <si>
    <t>R114/Benzene                                              [R114/BEN]</t>
  </si>
  <si>
    <t>R114/Heptane                                              [R114/C7]</t>
  </si>
  <si>
    <t>cis-Butene/Acetone                                        [C2B/ACT]</t>
  </si>
  <si>
    <t>cis-Butene/Methanol                                       [C2B/MEO]</t>
  </si>
  <si>
    <t>cis-Butene/Ethanol                                        [C2B/ETO]</t>
  </si>
  <si>
    <t>R21/Methanol                                              [R21/MEO]</t>
  </si>
  <si>
    <t>R21/Ethanol                                               [R21/ETO]</t>
  </si>
  <si>
    <t>Neopentane/Pentane                                        [C5A/C5]</t>
  </si>
  <si>
    <t>R245fa/Isopentane                                         [R245FA/C5I]</t>
  </si>
  <si>
    <t>R245fa/Pentane                                            [R245FA/C5]</t>
  </si>
  <si>
    <t>R123/Water                                                [R123/H2O]</t>
  </si>
  <si>
    <t>Isopentane/Pentane                                        [C5I/C5]</t>
  </si>
  <si>
    <t>Isopentane/R365mfc                                        [C5I/R365MFC]</t>
  </si>
  <si>
    <t>Isopentane/Acetone                                        [C5I/ACT]</t>
  </si>
  <si>
    <t>Isopentane/Methanol                                       [C5I/MEO]</t>
  </si>
  <si>
    <t>Isopentane/Hexane                                         [C5I/C6]</t>
  </si>
  <si>
    <t>Isopentane/Ethanol                                        [C5I/ETO]</t>
  </si>
  <si>
    <t>Isopentane/Benzene                                        [C5I/BEN]</t>
  </si>
  <si>
    <t>Isopentane/Cyclohexane                                    [C5I/CC6]</t>
  </si>
  <si>
    <t>Isopentane/Heptane                                        [C5I/C7]</t>
  </si>
  <si>
    <t>Isopentane/Water                                          [C5I/H2O]</t>
  </si>
  <si>
    <t>Isopentane/Methylcyclohexane                              [C5I/C1CC6]</t>
  </si>
  <si>
    <t>Isopentane/Toluene                                        [C5I/TOL]</t>
  </si>
  <si>
    <t>Isopentane/Octane                                         [C5I/C8]</t>
  </si>
  <si>
    <t>Isopentane/Nonane                                         [C5I/C9]</t>
  </si>
  <si>
    <t>Isopentane/Decane                                         [C5I/C10]</t>
  </si>
  <si>
    <t>Isopentane/Dodecane                                       [C5I/C12]</t>
  </si>
  <si>
    <t>Perfluoropentane/Pentane                                  [C5F12/C5]</t>
  </si>
  <si>
    <t>R141b/Pentane                                             [R141B/C5]</t>
  </si>
  <si>
    <t>RE347mcc/Pentane                                          [RE347MCC/C5]</t>
  </si>
  <si>
    <t>RE347mcc/Novec649                                         [RE347MCC/N649]</t>
  </si>
  <si>
    <t>Diethyl ether/Acetone                                     [DEE/ACT]</t>
  </si>
  <si>
    <t>Diethyl ether/Methanol                                    [DEE/MEO]</t>
  </si>
  <si>
    <t>Diethyl ether/Hexane                                      [DEE/C6]</t>
  </si>
  <si>
    <t>Diethyl ether/Ethanol                                     [DEE/ETO]</t>
  </si>
  <si>
    <t>Diethyl ether/Benzene                                     [DEE/BEN]</t>
  </si>
  <si>
    <t>Diethyl ether/Water                                       [DEE/H2O]</t>
  </si>
  <si>
    <t>Pentane/Novec649                                          [C5/N649]</t>
  </si>
  <si>
    <t>Pentane/Acetone                                           [C5/ACT]</t>
  </si>
  <si>
    <t>Pentane/Methanol                                          [C5/MEO]</t>
  </si>
  <si>
    <t>Pentane/Hexane                                            [C5/C6]</t>
  </si>
  <si>
    <t>Pentane/Ethanol                                           [C5/ETO]</t>
  </si>
  <si>
    <t>Pentane/Benzene                                           [C5/BEN]</t>
  </si>
  <si>
    <t>Pentane/Cyclohexane                                       [C5/CC6]</t>
  </si>
  <si>
    <t>Pentane/Heptane                                           [C5/C7]</t>
  </si>
  <si>
    <t>Pentane/Water                                             [C5/H2O]</t>
  </si>
  <si>
    <t>Pentane/Methylcyclohexane                                 [C5/C1CC6]</t>
  </si>
  <si>
    <t>Pentane/Toluene                                           [C5/TOL]</t>
  </si>
  <si>
    <t>Pentane/Octane                                            [C5/C8]</t>
  </si>
  <si>
    <t>Pentane/Nonane                                            [C5/C9]</t>
  </si>
  <si>
    <t>Pentane/Decane                                            [C5/C10]</t>
  </si>
  <si>
    <t>Pentane/Dodecane                                          [C5/C12]</t>
  </si>
  <si>
    <t>Pentane/Hexadecane                                        [C5/C16]</t>
  </si>
  <si>
    <t>R113/Acetone                                              [R113/ACT]</t>
  </si>
  <si>
    <t>R113/Hexane                                               [R113/C6]</t>
  </si>
  <si>
    <t>R113/Ethanol                                              [R113/ETO]</t>
  </si>
  <si>
    <t>R113/Benzene                                              [R113/BEN]</t>
  </si>
  <si>
    <t>R113/Heptane                                              [R113/C7]</t>
  </si>
  <si>
    <t>Cyclopentane/Ethanol                                      [CC5/ETO]</t>
  </si>
  <si>
    <t>Cyclopentane/Benzene                                      [CC5/BEN]</t>
  </si>
  <si>
    <t>Cyclopentane/Cyclohexane                                  [CC5/CC6]</t>
  </si>
  <si>
    <t>Cyclopentane/D4                                           [CC5/D4]</t>
  </si>
  <si>
    <t>Acetone/Methanol                                          [ACT/MEO]</t>
  </si>
  <si>
    <t>Acetone/Hexane                                            [ACT/C6]</t>
  </si>
  <si>
    <t>Acetone/Ethanol                                           [ACT/ETO]</t>
  </si>
  <si>
    <t>Acetone/Benzene                                           [ACT/BEN]</t>
  </si>
  <si>
    <t>Acetone/Cyclohexane                                       [ACT/CC6]</t>
  </si>
  <si>
    <t>Acetone/Dimethyl carbonate                                [ACT/DMC]</t>
  </si>
  <si>
    <t>Acetone/Heptane                                           [ACT/C7]</t>
  </si>
  <si>
    <t>Acetone/Isooctane                                         [ACT/C8I]</t>
  </si>
  <si>
    <t>Acetone/Water                                             [ACT/H2O]</t>
  </si>
  <si>
    <t>Acetone/Methylcyclohexane                                 [ACT/C1CC6]</t>
  </si>
  <si>
    <t>Acetone/Toluene                                           [ACT/TOL]</t>
  </si>
  <si>
    <t>Acetone/Octane                                            [ACT/C8]</t>
  </si>
  <si>
    <t>Acetone/p-Xylene                                          [ACT/XYP]</t>
  </si>
  <si>
    <t>Acetone/Nonane                                            [ACT/C9]</t>
  </si>
  <si>
    <t>Acetone/Decane                                            [ACT/C10]</t>
  </si>
  <si>
    <t>Acetone/Undecane                                          [ACT/C11]</t>
  </si>
  <si>
    <t>Acetone/Ethylene glycol                                   [ACT/EGLY]</t>
  </si>
  <si>
    <t>Acetone/Dodecane                                          [ACT/C12]</t>
  </si>
  <si>
    <t>Isohexane/Methanol                                        [C6I/MEO]</t>
  </si>
  <si>
    <t>Isohexane/Hexane                                          [C6I/C6]</t>
  </si>
  <si>
    <t>Isohexane/Ethanol                                         [C6I/ETO]</t>
  </si>
  <si>
    <t>Isohexane/Benzene                                         [C6I/BEN]</t>
  </si>
  <si>
    <t>Isohexane/Heptane                                         [C6I/C7]</t>
  </si>
  <si>
    <t>Methanol/Hexane                                           [MEO/C6]</t>
  </si>
  <si>
    <t>Methanol/Ethanol                                          [MEO/ETO]</t>
  </si>
  <si>
    <t>Methanol/Benzene                                          [MEO/BEN]</t>
  </si>
  <si>
    <t>Methanol/Cyclohexane                                      [MEO/CC6]</t>
  </si>
  <si>
    <t>Methanol/Dimethyl carbonate                               [MEO/DMC]</t>
  </si>
  <si>
    <t>Methanol/Heptane                                          [MEO/C7]</t>
  </si>
  <si>
    <t>Methanol/Water                                            [MEO/H2O]</t>
  </si>
  <si>
    <t>Methanol/MM                                               [MEO/MM]</t>
  </si>
  <si>
    <t>Methanol/Methylcyclohexane                                [MEO/C1CC6]</t>
  </si>
  <si>
    <t>Methanol/Toluene                                          [MEO/TOL]</t>
  </si>
  <si>
    <t>Methanol/Octane                                           [MEO/C8]</t>
  </si>
  <si>
    <t>Methanol/Ethylbenzene                                     [MEO/EBE]</t>
  </si>
  <si>
    <t>Methanol/m-Xylene                                         [MEO/XYM]</t>
  </si>
  <si>
    <t>Methanol/Nonane                                           [MEO/C9]</t>
  </si>
  <si>
    <t>Methanol/Decane                                           [MEO/C10]</t>
  </si>
  <si>
    <t>Methanol/Undecane                                         [MEO/C11]</t>
  </si>
  <si>
    <t>Methanol/Ethylene glycol                                  [MEO/EGLY]</t>
  </si>
  <si>
    <t>Methanol/Dodecane                                         [MEO/C12]</t>
  </si>
  <si>
    <t>Hexane/Ethanol                                            [C6/ETO]</t>
  </si>
  <si>
    <t>Hexane/Benzene                                            [C6/BEN]</t>
  </si>
  <si>
    <t>Hexane/Cyclohexane                                        [C6/CC6]</t>
  </si>
  <si>
    <t>Hexane/Dimethyl carbonate                                 [C6/DMC]</t>
  </si>
  <si>
    <t>Hexane/Heptane                                            [C6/C7]</t>
  </si>
  <si>
    <t>Hexane/Isooctane                                          [C6/C8I]</t>
  </si>
  <si>
    <t>Hexane/Water                                              [C6/H2O]</t>
  </si>
  <si>
    <t>Hexane/MM                                                 [C6/MM]</t>
  </si>
  <si>
    <t>Hexane/Methylcyclohexane                                  [C6/C1CC6]</t>
  </si>
  <si>
    <t>Hexane/Toluene                                            [C6/TOL]</t>
  </si>
  <si>
    <t>Hexane/Octane                                             [C6/C8]</t>
  </si>
  <si>
    <t>Hexane/Ethylbenzene                                       [C6/EBE]</t>
  </si>
  <si>
    <t>Hexane/p-Xylene                                           [C6/XYP]</t>
  </si>
  <si>
    <t>Hexane/m-Xylene                                           [C6/XYM]</t>
  </si>
  <si>
    <t>Hexane/o-Xylene                                           [C6/XYO]</t>
  </si>
  <si>
    <t>Hexane/Nonane                                             [C6/C9]</t>
  </si>
  <si>
    <t>Hexane/Decane                                             [C6/C10]</t>
  </si>
  <si>
    <t>Hexane/Dodecane                                           [C6/C12]</t>
  </si>
  <si>
    <t>Ethanol/Benzene                                           [ETO/BEN]</t>
  </si>
  <si>
    <t>Ethanol/Cyclohexane                                       [ETO/CC6]</t>
  </si>
  <si>
    <t>KWB</t>
  </si>
  <si>
    <t>Ethanol/Dimethyl carbonate                                [ETO/DMC]</t>
  </si>
  <si>
    <t>Ethanol/Heptane                                           [ETO/C7]</t>
  </si>
  <si>
    <t>Ethanol/Isooctane                                         [ETO/C8I]</t>
  </si>
  <si>
    <t>Ethanol/Water                                             [ETO/H2O]</t>
  </si>
  <si>
    <t>Ethanol/MM                                                [ETO/MM]</t>
  </si>
  <si>
    <t>Ethanol/Methylcyclohexane                                 [ETO/C1CC6]</t>
  </si>
  <si>
    <t>Ethanol/Toluene                                           [ETO/TOL]</t>
  </si>
  <si>
    <t>Ethanol/Octane                                            [ETO/C8]</t>
  </si>
  <si>
    <t>Ethanol/Ethylbenzene                                      [ETO/EBE]</t>
  </si>
  <si>
    <t>Ethanol/p-Xylene                                          [ETO/XYP]</t>
  </si>
  <si>
    <t>Ethanol/o-Xylene                                          [ETO/XYO]</t>
  </si>
  <si>
    <t>Ethanol/Nonane                                            [ETO/C9]</t>
  </si>
  <si>
    <t>Ethanol/Decane                                            [ETO/C10]</t>
  </si>
  <si>
    <t>Ethanol/Ethylene glycol                                   [ETO/EGLY]</t>
  </si>
  <si>
    <t>Benzene/Cyclohexane                                       [BEN/CC6]</t>
  </si>
  <si>
    <t>Benzene/Dimethyl carbonate                                [BEN/DMC]</t>
  </si>
  <si>
    <t>Benzene/Heptane                                           [BEN/C7]</t>
  </si>
  <si>
    <t>Benzene/Isooctane                                         [BEN/C8I]</t>
  </si>
  <si>
    <t>Benzene/Methylcyclohexane                                 [BEN/C1CC6]</t>
  </si>
  <si>
    <t>Benzene/Toluene                                           [BEN/TOL]</t>
  </si>
  <si>
    <t>Benzene/Octane                                            [BEN/C8]</t>
  </si>
  <si>
    <t>Benzene/Ethylbenzene                                      [BEN/EBE]</t>
  </si>
  <si>
    <t>Benzene/p-Xylene                                          [BEN/XYP]</t>
  </si>
  <si>
    <t>Benzene/m-Xylene                                          [BEN/XYM]</t>
  </si>
  <si>
    <t>Benzene/o-Xylene                                          [BEN/XYO]</t>
  </si>
  <si>
    <t>Benzene/Nonane                                            [BEN/C9]</t>
  </si>
  <si>
    <t>Benzene/Decane                                            [BEN/C10]</t>
  </si>
  <si>
    <t>Benzene/D4                                                [BEN/D4]</t>
  </si>
  <si>
    <t>Benzene/Dodecane                                          [BEN/C12]</t>
  </si>
  <si>
    <t>Cyclohexane/Dimethyl carbonate                            [CC6/DMC]</t>
  </si>
  <si>
    <t>Cyclohexane/Heptane                                       [CC6/C7]</t>
  </si>
  <si>
    <t>Cyclohexane/Isooctane                                     [CC6/C8I]</t>
  </si>
  <si>
    <t>Cyclohexane/Methylcyclohexane                             [CC6/C1CC6]</t>
  </si>
  <si>
    <t>Cyclohexane/Toluene                                       [CC6/TOL]</t>
  </si>
  <si>
    <t>Cyclohexane/Octane                                        [CC6/C8]</t>
  </si>
  <si>
    <t>Cyclohexane/Ethylbenzene                                  [CC6/EBE]</t>
  </si>
  <si>
    <t>Cyclohexane/p-Xylene                                      [CC6/XYP]</t>
  </si>
  <si>
    <t>Cyclohexane/m-Xylene                                      [CC6/XYM]</t>
  </si>
  <si>
    <t>Cyclohexane/o-Xylene                                      [CC6/XYO]</t>
  </si>
  <si>
    <t>Cyclohexane/Nonane                                        [CC6/C9]</t>
  </si>
  <si>
    <t>Cyclohexane/Decane                                        [CC6/C10]</t>
  </si>
  <si>
    <t>Cyclohexane/Undecane                                      [CC6/C11]</t>
  </si>
  <si>
    <t>Cyclohexane/Dodecane                                      [CC6/C12]</t>
  </si>
  <si>
    <t>Dimethyl carbonate/Heptane                                [DMC/C7]</t>
  </si>
  <si>
    <t>Dimethyl carbonate/Water                                  [DMC/H2O]</t>
  </si>
  <si>
    <t>Dimethyl carbonate/Toluene                                [DMC/TOL]</t>
  </si>
  <si>
    <t>Dimethyl carbonate/Octane                                 [DMC/C8]</t>
  </si>
  <si>
    <t>Dimethyl carbonate/Nonane                                 [DMC/C9]</t>
  </si>
  <si>
    <t>Dimethyl carbonate/Decane                                 [DMC/C10]</t>
  </si>
  <si>
    <t>Dimethyl carbonate/Ethylene glycol                        [DMC/EGLY]</t>
  </si>
  <si>
    <t>Heptane/Water                                             [C7/H2O]</t>
  </si>
  <si>
    <t>Heptane/Methylcyclohexane                                 [C7/C1CC6]</t>
  </si>
  <si>
    <t>Heptane/Toluene                                           [C7/TOL]</t>
  </si>
  <si>
    <t>Heptane/Octane                                            [C7/C8]</t>
  </si>
  <si>
    <t>Heptane/Ethylbenzene                                      [C7/EBE]</t>
  </si>
  <si>
    <t>Heptane/p-Xylene                                          [C7/XYP]</t>
  </si>
  <si>
    <t>Heptane/m-Xylene                                          [C7/XYM]</t>
  </si>
  <si>
    <t>Heptane/o-Xylene                                          [C7/XYO]</t>
  </si>
  <si>
    <t>Heptane/Nonane                                            [C7/C9]</t>
  </si>
  <si>
    <t>Heptane/Decane                                            [C7/C10]</t>
  </si>
  <si>
    <t>Heptane/Dodecane                                          [C7/C12]</t>
  </si>
  <si>
    <t>Isooctane/Toluene                                         [C8I/TOL]</t>
  </si>
  <si>
    <t>Isooctane/Octane                                          [C8I/C8]</t>
  </si>
  <si>
    <t>Isooctane/Ethylbenzene                                    [C8I/EBE]</t>
  </si>
  <si>
    <t>Isooctane/p-Xylene                                        [C8I/XYP]</t>
  </si>
  <si>
    <t>Isooctane/m-Xylene                                        [C8I/XYM]</t>
  </si>
  <si>
    <t>Isooctane/o-Xylene                                        [C8I/XYO]</t>
  </si>
  <si>
    <t>Water/Heavy water                                         [H2O/D2O]</t>
  </si>
  <si>
    <t>Water/Octane                                              [H2O/C8]</t>
  </si>
  <si>
    <t>Water/Nonane                                              [H2O/C9]</t>
  </si>
  <si>
    <t>Water/Decane                                              [H2O/C10]</t>
  </si>
  <si>
    <t>Water/Ethylene glycol                                     [H2O/EGLY]</t>
  </si>
  <si>
    <t>Water/Dodecane                                            [H2O/C12]</t>
  </si>
  <si>
    <t>MM/Toluene                                                [MM/TOL]</t>
  </si>
  <si>
    <t>Methylcyclohexane/Toluene                                 [C1CC6/TOL]</t>
  </si>
  <si>
    <t>Methylcyclohexane/Octane                                  [C1CC6/C8]</t>
  </si>
  <si>
    <t>Methylcyclohexane/Ethylbenzene                            [C1CC6/EBE]</t>
  </si>
  <si>
    <t>Methylcyclohexane/p-Xylene                                [C1CC6/XYP]</t>
  </si>
  <si>
    <t>Methylcyclohexane/o-Xylene                                [C1CC6/XYO]</t>
  </si>
  <si>
    <t>Methylcyclohexane/Nonane                                  [C1CC6/C9]</t>
  </si>
  <si>
    <t>Methylcyclohexane/Decane                                  [C1CC6/C10]</t>
  </si>
  <si>
    <t>Toluene/Octane                                            [TOL/C8]</t>
  </si>
  <si>
    <t>Toluene/Ethylbenzene                                      [TOL/EBE]</t>
  </si>
  <si>
    <t>Toluene/p-Xylene                                          [TOL/XYP]</t>
  </si>
  <si>
    <t>Toluene/m-Xylene                                          [TOL/XYM]</t>
  </si>
  <si>
    <t>Toluene/o-Xylene                                          [TOL/XYO]</t>
  </si>
  <si>
    <t>Toluene/Nonane                                            [TOL/C9]</t>
  </si>
  <si>
    <t>Toluene/Decane                                            [TOL/C10]</t>
  </si>
  <si>
    <t>Toluene/Dodecane                                          [TOL/C12]</t>
  </si>
  <si>
    <t>Octane/Ethylbenzene                                       [C8/EBE]</t>
  </si>
  <si>
    <t>Octane/p-Xylene                                           [C8/XYP]</t>
  </si>
  <si>
    <t>Octane/m-Xylene                                           [C8/XYM]</t>
  </si>
  <si>
    <t>Octane/o-Xylene                                           [C8/XYO]</t>
  </si>
  <si>
    <t>Octane/Nonane                                             [C8/C9]</t>
  </si>
  <si>
    <t>Octane/Decane                                             [C8/C10]</t>
  </si>
  <si>
    <t>Octane/Dodecane                                           [C8/C12]</t>
  </si>
  <si>
    <t>Ethylbenzene/p-Xylene                                     [EBE/XYP]</t>
  </si>
  <si>
    <t>Ethylbenzene/m-Xylene                                     [EBE/XYM]</t>
  </si>
  <si>
    <t>Ethylbenzene/o-Xylene                                     [EBE/XYO]</t>
  </si>
  <si>
    <t>Ethylbenzene/Nonane                                       [EBE/C9]</t>
  </si>
  <si>
    <t>p-Xylene/Nonane                                           [XYP/C9]</t>
  </si>
  <si>
    <t>p-Xylene/Decane                                           [XYP/C10]</t>
  </si>
  <si>
    <t>p-Xylene/Undecane                                         [XYP/C11]</t>
  </si>
  <si>
    <t>m-Xylene/o-Xylene                                         [XYM/XYO]</t>
  </si>
  <si>
    <t>m-Xylene/Nonane                                           [XYM/C9]</t>
  </si>
  <si>
    <t>m-Xylene/Decane                                           [XYM/C10]</t>
  </si>
  <si>
    <t>m-Xylene/Undecane                                         [XYM/C11]</t>
  </si>
  <si>
    <t>o-Xylene/Nonane                                           [XYO/C9]</t>
  </si>
  <si>
    <t>o-Xylene/Decane                                           [XYO/C10]</t>
  </si>
  <si>
    <t>o-Xylene/Undecane                                         [XYO/C11]</t>
  </si>
  <si>
    <t>Nonane/Decane                                             [C9/C10]</t>
  </si>
  <si>
    <t>Nonane/Dodecane                                           [C9/C12]</t>
  </si>
  <si>
    <t>MDM/D4                                                    [MDM/D4]</t>
  </si>
  <si>
    <t>Decane/Dodecane                                           [C10/C12]</t>
  </si>
  <si>
    <t>Methyl palmitate/Methyl oleate                            [MPLMT/MOLEA]</t>
  </si>
  <si>
    <t>Methyl palmitate/Methyl linoleate                         [MPLMT/MLNLT]</t>
  </si>
  <si>
    <t>Methyl palmitate/Methyl linolenate                        [MPLMT/MLNLNT]</t>
  </si>
  <si>
    <t>Methyl palmitate/Methyl stearate                          [MPLMT/MSTRT]</t>
  </si>
  <si>
    <t>Methyl oleate/Methyl linoleate                            [MOLEA/MLNLT]</t>
  </si>
  <si>
    <t>Methyl oleate/Methyl linolenate                           [MOLEA/MLNLNT]</t>
  </si>
  <si>
    <t>Methyl oleate/Methyl stearate                             [MOLEA/MSTRT]</t>
  </si>
  <si>
    <t>Methyl linoleate/Methyl linolenate                        [MLNLT/MLNLNT]</t>
  </si>
  <si>
    <t>Methyl linoleate/Methyl stearate                          [MLNLT/MSTRT]</t>
  </si>
  <si>
    <t>Methyl linolenate/Methyl stearate                         [MLNLNT/MSTRT]</t>
  </si>
  <si>
    <t>Water/Propylene glycol                                    [H2O/PGLY]</t>
  </si>
  <si>
    <t>Ammonia/Hydrazine                                         [NH3/N2H4]</t>
  </si>
  <si>
    <t>Ammonia/Monomethylhydrazine                               [NH3/MMH]</t>
  </si>
  <si>
    <t>Hydrazine/Monomethylhydrazine                             [N2H4/MMH]</t>
  </si>
  <si>
    <t>Methane/Helium                                            [C1/HE]</t>
    <phoneticPr fontId="2"/>
  </si>
  <si>
    <t>material(Synonym)</t>
    <phoneticPr fontId="2"/>
  </si>
  <si>
    <t>material(file name)</t>
    <phoneticPr fontId="2"/>
  </si>
  <si>
    <t>Carbon</t>
    <phoneticPr fontId="2"/>
  </si>
  <si>
    <t>Hydrogen</t>
    <phoneticPr fontId="2"/>
  </si>
  <si>
    <t>Cyclohexane</t>
    <phoneticPr fontId="2"/>
  </si>
  <si>
    <t>Toluene</t>
    <phoneticPr fontId="2"/>
  </si>
  <si>
    <t>Xenon</t>
    <phoneticPr fontId="2"/>
  </si>
  <si>
    <t>Dimethyl</t>
    <phoneticPr fontId="2"/>
  </si>
  <si>
    <t>Benzene</t>
    <phoneticPr fontId="2"/>
  </si>
  <si>
    <t>Helium/Isobutane                                          [HE/C4I]</t>
    <phoneticPr fontId="2"/>
  </si>
  <si>
    <t>Nitrogen/Sulfur dioxide                                   [N2/SO2]</t>
    <phoneticPr fontId="2"/>
  </si>
  <si>
    <t>Carbon monoxide/Sulfur dioxide                            [CO/SO2]</t>
    <phoneticPr fontId="2"/>
  </si>
  <si>
    <t>Nitrogen/Isopentane                                       [N2/C5I]</t>
    <phoneticPr fontId="2"/>
  </si>
  <si>
    <t>Methane/Carbon monoxide                                   [C1/CO]</t>
    <phoneticPr fontId="2"/>
  </si>
  <si>
    <t>material(Hash number from InChI Key)</t>
    <phoneticPr fontId="2"/>
  </si>
  <si>
    <t>Vinylethylene</t>
    <phoneticPr fontId="2"/>
  </si>
  <si>
    <t>cd07ca00</t>
    <phoneticPr fontId="2"/>
  </si>
  <si>
    <t>1-Butylene</t>
    <phoneticPr fontId="2"/>
  </si>
  <si>
    <t>cd7a06d0</t>
    <phoneticPr fontId="2"/>
  </si>
  <si>
    <t>Ethylacetylene</t>
    <phoneticPr fontId="2"/>
  </si>
  <si>
    <t>4bfbe360</t>
    <phoneticPr fontId="2"/>
  </si>
  <si>
    <t>Propylethylene</t>
    <phoneticPr fontId="2"/>
  </si>
  <si>
    <t>1f061ca0</t>
    <phoneticPr fontId="2"/>
  </si>
  <si>
    <t>Neohexane</t>
    <phoneticPr fontId="2"/>
  </si>
  <si>
    <t>c9396950</t>
    <phoneticPr fontId="2"/>
  </si>
  <si>
    <t>Butane,</t>
    <phoneticPr fontId="2"/>
  </si>
  <si>
    <t>bca9ff20</t>
    <phoneticPr fontId="2"/>
  </si>
  <si>
    <t>Pentane,</t>
    <phoneticPr fontId="2"/>
  </si>
  <si>
    <t>5bd6f470</t>
    <phoneticPr fontId="2"/>
  </si>
  <si>
    <t>Narcylen,</t>
    <phoneticPr fontId="2"/>
  </si>
  <si>
    <t>6283cfc0</t>
    <phoneticPr fontId="2"/>
  </si>
  <si>
    <t>R-717</t>
    <phoneticPr fontId="2"/>
  </si>
  <si>
    <t>e9847540</t>
    <phoneticPr fontId="2"/>
  </si>
  <si>
    <t>R-740</t>
    <phoneticPr fontId="2"/>
  </si>
  <si>
    <t>ed016370</t>
    <phoneticPr fontId="2"/>
  </si>
  <si>
    <t>f2cfb460</t>
    <phoneticPr fontId="2"/>
  </si>
  <si>
    <t>R-600</t>
    <phoneticPr fontId="2"/>
  </si>
  <si>
    <t>7b3b4080</t>
    <phoneticPr fontId="2"/>
  </si>
  <si>
    <t>n-Undecane</t>
    <phoneticPr fontId="2"/>
  </si>
  <si>
    <t>62f46c40</t>
    <phoneticPr fontId="2"/>
  </si>
  <si>
    <t>n-Dodecane</t>
    <phoneticPr fontId="2"/>
  </si>
  <si>
    <t>8bc8dec0</t>
    <phoneticPr fontId="2"/>
  </si>
  <si>
    <t>n-Hexadecane</t>
    <phoneticPr fontId="2"/>
  </si>
  <si>
    <t>8cf1f140</t>
    <phoneticPr fontId="2"/>
  </si>
  <si>
    <t>Cyclohexylmethane</t>
    <phoneticPr fontId="2"/>
  </si>
  <si>
    <t>0429edd0</t>
    <phoneticPr fontId="2"/>
  </si>
  <si>
    <t>n-Docosane</t>
    <phoneticPr fontId="2"/>
  </si>
  <si>
    <t>508eb840</t>
    <phoneticPr fontId="2"/>
  </si>
  <si>
    <t>(Z)-2-Butene</t>
    <phoneticPr fontId="2"/>
  </si>
  <si>
    <t>411c4500</t>
    <phoneticPr fontId="2"/>
  </si>
  <si>
    <t>Propylcyclohexane</t>
    <phoneticPr fontId="2"/>
  </si>
  <si>
    <t>206f01b0</t>
    <phoneticPr fontId="2"/>
  </si>
  <si>
    <t>Perfluorobutane</t>
    <phoneticPr fontId="2"/>
  </si>
  <si>
    <t>a8f85e00</t>
    <phoneticPr fontId="2"/>
  </si>
  <si>
    <t>Perfluoropentane</t>
    <phoneticPr fontId="2"/>
  </si>
  <si>
    <t>053a8820</t>
    <phoneticPr fontId="2"/>
  </si>
  <si>
    <t>Perfluorohexane</t>
    <phoneticPr fontId="2"/>
  </si>
  <si>
    <t>31895f40</t>
    <phoneticPr fontId="2"/>
  </si>
  <si>
    <t>HFC-13I1</t>
    <phoneticPr fontId="2"/>
  </si>
  <si>
    <t>d26ca240</t>
    <phoneticPr fontId="2"/>
  </si>
  <si>
    <t>Chlorine</t>
    <phoneticPr fontId="2"/>
  </si>
  <si>
    <t>828f1c80</t>
    <phoneticPr fontId="2"/>
  </si>
  <si>
    <t>Phenyl</t>
    <phoneticPr fontId="2"/>
  </si>
  <si>
    <t>2366d210</t>
    <phoneticPr fontId="2"/>
  </si>
  <si>
    <t>091cb7e0</t>
    <phoneticPr fontId="2"/>
  </si>
  <si>
    <t>R-744</t>
    <phoneticPr fontId="2"/>
  </si>
  <si>
    <t>77c8bee0</t>
    <phoneticPr fontId="2"/>
  </si>
  <si>
    <t>e7f902e0</t>
    <phoneticPr fontId="2"/>
  </si>
  <si>
    <t>Cyclobutan-1,2-diyl</t>
    <phoneticPr fontId="2"/>
  </si>
  <si>
    <t>0b1a5d30</t>
    <phoneticPr fontId="2"/>
  </si>
  <si>
    <t>6e225350</t>
    <phoneticPr fontId="2"/>
  </si>
  <si>
    <t>C5H10</t>
    <phoneticPr fontId="2"/>
  </si>
  <si>
    <t>43ab1810</t>
    <phoneticPr fontId="2"/>
  </si>
  <si>
    <t>Trimethylene</t>
    <phoneticPr fontId="2"/>
  </si>
  <si>
    <t>bc9f5400</t>
    <phoneticPr fontId="2"/>
  </si>
  <si>
    <t>Deuterium</t>
    <phoneticPr fontId="2"/>
  </si>
  <si>
    <t>639b18a0</t>
    <phoneticPr fontId="2"/>
  </si>
  <si>
    <t>3e131610</t>
    <phoneticPr fontId="2"/>
  </si>
  <si>
    <t>b6895470</t>
    <phoneticPr fontId="2"/>
  </si>
  <si>
    <t>ccbc27e0</t>
    <phoneticPr fontId="2"/>
  </si>
  <si>
    <t>1fad29d0</t>
    <phoneticPr fontId="2"/>
  </si>
  <si>
    <t>bis(2-hydroxyethyl)Amine</t>
    <phoneticPr fontId="2"/>
  </si>
  <si>
    <t>393cd060</t>
    <phoneticPr fontId="2"/>
  </si>
  <si>
    <t>n-Decane</t>
    <phoneticPr fontId="2"/>
  </si>
  <si>
    <t>111888d0</t>
    <phoneticPr fontId="2"/>
  </si>
  <si>
    <t>Ethyl</t>
    <phoneticPr fontId="2"/>
  </si>
  <si>
    <t>46a701e0</t>
    <phoneticPr fontId="2"/>
  </si>
  <si>
    <t>859e6f80</t>
    <phoneticPr fontId="2"/>
  </si>
  <si>
    <t>RE-170</t>
    <phoneticPr fontId="2"/>
  </si>
  <si>
    <t>8f27e300</t>
    <phoneticPr fontId="2"/>
  </si>
  <si>
    <t>Benzene,</t>
    <phoneticPr fontId="2"/>
  </si>
  <si>
    <t>a4c64370</t>
    <phoneticPr fontId="2"/>
  </si>
  <si>
    <t>Glycol</t>
    <phoneticPr fontId="2"/>
  </si>
  <si>
    <t>7d1768e0</t>
    <phoneticPr fontId="2"/>
  </si>
  <si>
    <t>R-170</t>
    <phoneticPr fontId="2"/>
  </si>
  <si>
    <t>434e2a40</t>
    <phoneticPr fontId="2"/>
  </si>
  <si>
    <t>Methyl</t>
    <phoneticPr fontId="2"/>
  </si>
  <si>
    <t>3d5f67e0</t>
    <phoneticPr fontId="2"/>
  </si>
  <si>
    <t>R-1150</t>
    <phoneticPr fontId="2"/>
  </si>
  <si>
    <t>9c1062b0</t>
    <phoneticPr fontId="2"/>
  </si>
  <si>
    <t>Oxirane</t>
    <phoneticPr fontId="2"/>
  </si>
  <si>
    <t>557b13f0</t>
    <phoneticPr fontId="2"/>
  </si>
  <si>
    <t>Fluorine</t>
    <phoneticPr fontId="2"/>
  </si>
  <si>
    <t>cdc99fe0</t>
    <phoneticPr fontId="2"/>
  </si>
  <si>
    <t>Dihydrogen</t>
    <phoneticPr fontId="2"/>
  </si>
  <si>
    <t>c6c03020</t>
    <phoneticPr fontId="2"/>
  </si>
  <si>
    <t>74b17450</t>
    <phoneticPr fontId="2"/>
  </si>
  <si>
    <t>R-704</t>
    <phoneticPr fontId="2"/>
  </si>
  <si>
    <t>3b8eed30</t>
    <phoneticPr fontId="2"/>
  </si>
  <si>
    <t>n-Heptane</t>
    <phoneticPr fontId="2"/>
  </si>
  <si>
    <t>b398a3b0</t>
    <phoneticPr fontId="2"/>
  </si>
  <si>
    <t>n-Hexane</t>
    <phoneticPr fontId="2"/>
  </si>
  <si>
    <t>cb03ba40</t>
    <phoneticPr fontId="2"/>
  </si>
  <si>
    <t>R-702</t>
    <phoneticPr fontId="2"/>
  </si>
  <si>
    <t>8d757b40</t>
    <phoneticPr fontId="2"/>
  </si>
  <si>
    <t>Methylpropene</t>
    <phoneticPr fontId="2"/>
  </si>
  <si>
    <t>d287e4b0</t>
    <phoneticPr fontId="2"/>
  </si>
  <si>
    <t>Methylpentane</t>
    <phoneticPr fontId="2"/>
  </si>
  <si>
    <t>faa2db70</t>
    <phoneticPr fontId="2"/>
  </si>
  <si>
    <t>Isobutyltrimethylmethane</t>
    <phoneticPr fontId="2"/>
  </si>
  <si>
    <t>c2dd9ef0</t>
    <phoneticPr fontId="2"/>
  </si>
  <si>
    <t>R-601a</t>
    <phoneticPr fontId="2"/>
  </si>
  <si>
    <t>86ee46a0</t>
    <phoneticPr fontId="2"/>
  </si>
  <si>
    <t>R-600a</t>
    <phoneticPr fontId="2"/>
  </si>
  <si>
    <t>47ade7e0</t>
    <phoneticPr fontId="2"/>
  </si>
  <si>
    <t>R-784</t>
    <phoneticPr fontId="2"/>
  </si>
  <si>
    <t>d7c8c510</t>
    <phoneticPr fontId="2"/>
  </si>
  <si>
    <t>63e16330</t>
    <phoneticPr fontId="2"/>
  </si>
  <si>
    <t>7d394df0</t>
    <phoneticPr fontId="2"/>
  </si>
  <si>
    <t>eabdcbe0</t>
    <phoneticPr fontId="2"/>
  </si>
  <si>
    <t>4be67b80</t>
    <phoneticPr fontId="2"/>
  </si>
  <si>
    <t>2-Aminoethanol</t>
    <phoneticPr fontId="2"/>
  </si>
  <si>
    <t>27b11730</t>
    <phoneticPr fontId="2"/>
  </si>
  <si>
    <t>R-50</t>
    <phoneticPr fontId="2"/>
  </si>
  <si>
    <t>8ae7a700</t>
    <phoneticPr fontId="2"/>
  </si>
  <si>
    <t>c41aa690</t>
    <phoneticPr fontId="2"/>
  </si>
  <si>
    <t>b61b9eb0</t>
    <phoneticPr fontId="2"/>
  </si>
  <si>
    <t>298c8c80</t>
    <phoneticPr fontId="2"/>
  </si>
  <si>
    <t>f300b9e0</t>
    <phoneticPr fontId="2"/>
  </si>
  <si>
    <t>27c9ec60</t>
    <phoneticPr fontId="2"/>
  </si>
  <si>
    <t>m-Xylene</t>
    <phoneticPr fontId="2"/>
  </si>
  <si>
    <t>0f99ff70</t>
    <phoneticPr fontId="2"/>
  </si>
  <si>
    <t>R-744A</t>
    <phoneticPr fontId="2"/>
  </si>
  <si>
    <t>e0647c00</t>
    <phoneticPr fontId="2"/>
  </si>
  <si>
    <t>R-720</t>
    <phoneticPr fontId="2"/>
  </si>
  <si>
    <t>b912fce0</t>
    <phoneticPr fontId="2"/>
  </si>
  <si>
    <t>Tetramethylmethane</t>
    <phoneticPr fontId="2"/>
  </si>
  <si>
    <t>5a410790</t>
    <phoneticPr fontId="2"/>
  </si>
  <si>
    <t>Trifluoroamine</t>
    <phoneticPr fontId="2"/>
  </si>
  <si>
    <t>6db4e3b0</t>
    <phoneticPr fontId="2"/>
  </si>
  <si>
    <t>R-728</t>
    <phoneticPr fontId="2"/>
  </si>
  <si>
    <t>edbdc8e0</t>
    <phoneticPr fontId="2"/>
  </si>
  <si>
    <t>n-Nonane</t>
    <phoneticPr fontId="2"/>
  </si>
  <si>
    <t>7f94dc20</t>
    <phoneticPr fontId="2"/>
  </si>
  <si>
    <t>Dodecafluoro-2-methylpentan-3-one</t>
    <phoneticPr fontId="2"/>
  </si>
  <si>
    <t>a9e22c00</t>
    <phoneticPr fontId="2"/>
  </si>
  <si>
    <t>n-Octane</t>
    <phoneticPr fontId="2"/>
  </si>
  <si>
    <t>f174a9b0</t>
    <phoneticPr fontId="2"/>
  </si>
  <si>
    <t>8d757b4b</t>
    <phoneticPr fontId="2"/>
  </si>
  <si>
    <t>R-732</t>
    <phoneticPr fontId="2"/>
  </si>
  <si>
    <t>edc36840</t>
    <phoneticPr fontId="2"/>
  </si>
  <si>
    <t>o-Xylene</t>
    <phoneticPr fontId="2"/>
  </si>
  <si>
    <t>R-702p</t>
    <phoneticPr fontId="2"/>
  </si>
  <si>
    <t>8d757b4a</t>
    <phoneticPr fontId="2"/>
  </si>
  <si>
    <t>R-601</t>
    <phoneticPr fontId="2"/>
  </si>
  <si>
    <t>76bc0290</t>
    <phoneticPr fontId="2"/>
  </si>
  <si>
    <t>Allene</t>
    <phoneticPr fontId="2"/>
  </si>
  <si>
    <t>46c6b6e0</t>
    <phoneticPr fontId="2"/>
  </si>
  <si>
    <t>R-290</t>
    <phoneticPr fontId="2"/>
  </si>
  <si>
    <t>70c6aac0</t>
    <phoneticPr fontId="2"/>
  </si>
  <si>
    <t>R-1270</t>
    <phoneticPr fontId="2"/>
  </si>
  <si>
    <t>56d778b0</t>
    <phoneticPr fontId="2"/>
  </si>
  <si>
    <t>Methyloxirane</t>
    <phoneticPr fontId="2"/>
  </si>
  <si>
    <t>814f4990</t>
    <phoneticPr fontId="2"/>
  </si>
  <si>
    <t>3cbb9620</t>
    <phoneticPr fontId="2"/>
  </si>
  <si>
    <t>p-Xylene</t>
    <phoneticPr fontId="2"/>
  </si>
  <si>
    <t>01b0e650</t>
    <phoneticPr fontId="2"/>
  </si>
  <si>
    <t>CFC-11</t>
    <phoneticPr fontId="2"/>
  </si>
  <si>
    <t>6f9b71e0</t>
    <phoneticPr fontId="2"/>
  </si>
  <si>
    <t>HFO-1123</t>
    <phoneticPr fontId="2"/>
  </si>
  <si>
    <t>CFC-113</t>
    <phoneticPr fontId="2"/>
  </si>
  <si>
    <t>d2a09ee0</t>
    <phoneticPr fontId="2"/>
  </si>
  <si>
    <t>HFO-1132(E)</t>
    <phoneticPr fontId="2"/>
  </si>
  <si>
    <t>85f6fd50</t>
    <phoneticPr fontId="2"/>
  </si>
  <si>
    <t>CFC-114</t>
    <phoneticPr fontId="2"/>
  </si>
  <si>
    <t>b1698aa0</t>
    <phoneticPr fontId="2"/>
  </si>
  <si>
    <t>CFC-115</t>
    <phoneticPr fontId="2"/>
  </si>
  <si>
    <t>f7285250</t>
    <phoneticPr fontId="2"/>
  </si>
  <si>
    <t>FC-116</t>
    <phoneticPr fontId="2"/>
  </si>
  <si>
    <t>CFC-12</t>
    <phoneticPr fontId="2"/>
  </si>
  <si>
    <t>98829b70</t>
    <phoneticPr fontId="2"/>
  </si>
  <si>
    <t>Hexafluoropropylene</t>
    <phoneticPr fontId="2"/>
  </si>
  <si>
    <t>edc3a7b0</t>
    <phoneticPr fontId="2"/>
  </si>
  <si>
    <t>HCFO-1224yd(Z)</t>
    <phoneticPr fontId="2"/>
  </si>
  <si>
    <t>55d0af00</t>
    <phoneticPr fontId="2"/>
  </si>
  <si>
    <t>HCFC-123</t>
    <phoneticPr fontId="2"/>
  </si>
  <si>
    <t>efdfede0</t>
    <phoneticPr fontId="2"/>
  </si>
  <si>
    <t>HFO-1233zd(E)</t>
    <phoneticPr fontId="2"/>
  </si>
  <si>
    <t>bf17dfe0</t>
    <phoneticPr fontId="2"/>
  </si>
  <si>
    <t>R-1234yf</t>
    <phoneticPr fontId="2"/>
  </si>
  <si>
    <t>40377b40</t>
    <phoneticPr fontId="2"/>
  </si>
  <si>
    <t>HFO-1234ze(E)</t>
    <phoneticPr fontId="2"/>
  </si>
  <si>
    <t>9905ef70</t>
    <phoneticPr fontId="2"/>
  </si>
  <si>
    <t>R-1234ze(Z)</t>
    <phoneticPr fontId="2"/>
  </si>
  <si>
    <t>e23fd030</t>
    <phoneticPr fontId="2"/>
  </si>
  <si>
    <t>HCFC-124</t>
    <phoneticPr fontId="2"/>
  </si>
  <si>
    <t>HFO-1243zf</t>
    <phoneticPr fontId="2"/>
  </si>
  <si>
    <t>HFC-125</t>
    <phoneticPr fontId="2"/>
  </si>
  <si>
    <t>25c5a3a0</t>
    <phoneticPr fontId="2"/>
  </si>
  <si>
    <t>CFC-13</t>
    <phoneticPr fontId="2"/>
  </si>
  <si>
    <t>126c90a0</t>
    <phoneticPr fontId="2"/>
  </si>
  <si>
    <t>HFO-1336mzz(Z)</t>
    <phoneticPr fontId="2"/>
  </si>
  <si>
    <t>8da378b0</t>
    <phoneticPr fontId="2"/>
  </si>
  <si>
    <t>HFC-134a</t>
    <phoneticPr fontId="2"/>
  </si>
  <si>
    <t>ff1c0560</t>
    <phoneticPr fontId="2"/>
  </si>
  <si>
    <t>FC-14</t>
    <phoneticPr fontId="2"/>
  </si>
  <si>
    <t>dba9f950</t>
    <phoneticPr fontId="2"/>
  </si>
  <si>
    <t>HCFC-141b</t>
    <phoneticPr fontId="2"/>
  </si>
  <si>
    <t>ba322c10</t>
    <phoneticPr fontId="2"/>
  </si>
  <si>
    <t>HCFC-142b</t>
    <phoneticPr fontId="2"/>
  </si>
  <si>
    <t>f2a8b2e0</t>
    <phoneticPr fontId="2"/>
  </si>
  <si>
    <t>HFC-143a</t>
    <phoneticPr fontId="2"/>
  </si>
  <si>
    <t>0deae990</t>
    <phoneticPr fontId="2"/>
  </si>
  <si>
    <t>R-150</t>
    <phoneticPr fontId="2"/>
  </si>
  <si>
    <t>042f81b0</t>
    <phoneticPr fontId="2"/>
  </si>
  <si>
    <t>HFC-152a</t>
    <phoneticPr fontId="2"/>
  </si>
  <si>
    <t>63f364b0</t>
    <phoneticPr fontId="2"/>
  </si>
  <si>
    <t>edb53660</t>
    <phoneticPr fontId="2"/>
  </si>
  <si>
    <t>HCFC-21</t>
    <phoneticPr fontId="2"/>
  </si>
  <si>
    <t>79ff2f80</t>
    <phoneticPr fontId="2"/>
  </si>
  <si>
    <t>Perfluoropropane</t>
    <phoneticPr fontId="2"/>
  </si>
  <si>
    <t>00bd3610</t>
    <phoneticPr fontId="2"/>
  </si>
  <si>
    <t>HCFC-22</t>
    <phoneticPr fontId="2"/>
  </si>
  <si>
    <t>HFC-227ea</t>
    <phoneticPr fontId="2"/>
  </si>
  <si>
    <t>40091ee0</t>
    <phoneticPr fontId="2"/>
  </si>
  <si>
    <t>HFC-23</t>
    <phoneticPr fontId="2"/>
  </si>
  <si>
    <t>20e26c20</t>
    <phoneticPr fontId="2"/>
  </si>
  <si>
    <t>HFC-236ea</t>
    <phoneticPr fontId="2"/>
  </si>
  <si>
    <t>93fd5d40</t>
    <phoneticPr fontId="2"/>
  </si>
  <si>
    <t>HFC-236fa</t>
    <phoneticPr fontId="2"/>
  </si>
  <si>
    <t>77fa2150</t>
    <phoneticPr fontId="2"/>
  </si>
  <si>
    <t>HFC-245ca</t>
    <phoneticPr fontId="2"/>
  </si>
  <si>
    <t>ead82280</t>
    <phoneticPr fontId="2"/>
  </si>
  <si>
    <t>HFC-245fa</t>
    <phoneticPr fontId="2"/>
  </si>
  <si>
    <t>5c322280</t>
    <phoneticPr fontId="2"/>
  </si>
  <si>
    <t>HFC-32</t>
    <phoneticPr fontId="2"/>
  </si>
  <si>
    <t>7b05bb60</t>
    <phoneticPr fontId="2"/>
  </si>
  <si>
    <t>HFC-365mfc</t>
    <phoneticPr fontId="2"/>
  </si>
  <si>
    <t>9d316cb0</t>
    <phoneticPr fontId="2"/>
  </si>
  <si>
    <t>2b938200</t>
    <phoneticPr fontId="2"/>
  </si>
  <si>
    <t>HFC-41</t>
    <phoneticPr fontId="2"/>
  </si>
  <si>
    <t>8ee31230</t>
    <phoneticPr fontId="2"/>
  </si>
  <si>
    <t>FC-C318</t>
    <phoneticPr fontId="2"/>
  </si>
  <si>
    <t>9e4d8e90</t>
    <phoneticPr fontId="2"/>
  </si>
  <si>
    <t>HFE-143a</t>
    <phoneticPr fontId="2"/>
  </si>
  <si>
    <t>bf6c1a00</t>
    <phoneticPr fontId="2"/>
  </si>
  <si>
    <t>HFE-245cb2</t>
    <phoneticPr fontId="2"/>
  </si>
  <si>
    <t>82e9e4f0</t>
    <phoneticPr fontId="2"/>
  </si>
  <si>
    <t>HFE-245fa2</t>
    <phoneticPr fontId="2"/>
  </si>
  <si>
    <t>a7275d70</t>
    <phoneticPr fontId="2"/>
  </si>
  <si>
    <t>HFE-7000</t>
    <phoneticPr fontId="2"/>
  </si>
  <si>
    <t>12934ef0</t>
    <phoneticPr fontId="2"/>
  </si>
  <si>
    <t>Sulfur</t>
    <phoneticPr fontId="2"/>
  </si>
  <si>
    <t>7a75e610</t>
    <phoneticPr fontId="2"/>
  </si>
  <si>
    <t>R-764</t>
    <phoneticPr fontId="2"/>
  </si>
  <si>
    <t>7fad4b80</t>
    <phoneticPr fontId="2"/>
  </si>
  <si>
    <t>(E)-2-Butene</t>
    <phoneticPr fontId="2"/>
  </si>
  <si>
    <t>b28337f0</t>
    <phoneticPr fontId="2"/>
  </si>
  <si>
    <t>a49b8b50</t>
    <phoneticPr fontId="2"/>
  </si>
  <si>
    <t>R-1140</t>
    <phoneticPr fontId="2"/>
  </si>
  <si>
    <t>0b34bc40</t>
    <phoneticPr fontId="2"/>
  </si>
  <si>
    <t>R-718</t>
    <phoneticPr fontId="2"/>
  </si>
  <si>
    <t>b43a7600</t>
    <phoneticPr fontId="2"/>
  </si>
  <si>
    <t>71fd7fa0</t>
    <phoneticPr fontId="2"/>
  </si>
  <si>
    <t>Ethane/Acetone                                            [C2/ACT]</t>
    <phoneticPr fontId="2"/>
  </si>
  <si>
    <t>342481e0</t>
    <phoneticPr fontId="2"/>
  </si>
  <si>
    <t>78082e80</t>
    <phoneticPr fontId="2"/>
  </si>
  <si>
    <t>81403130</t>
    <phoneticPr fontId="2"/>
  </si>
  <si>
    <t>32008e80</t>
    <phoneticPr fontId="2"/>
  </si>
  <si>
    <t>64555530</t>
    <phoneticPr fontId="2"/>
  </si>
  <si>
    <t>04997260</t>
    <phoneticPr fontId="2"/>
  </si>
  <si>
    <t>36953260</t>
    <phoneticPr fontId="2"/>
  </si>
  <si>
    <t>86479e20</t>
    <phoneticPr fontId="2"/>
  </si>
  <si>
    <t>57716470</t>
    <phoneticPr fontId="2"/>
  </si>
  <si>
    <t>Tred</t>
  </si>
  <si>
    <t>Dred</t>
  </si>
  <si>
    <t>x1</t>
  </si>
  <si>
    <t>x2</t>
  </si>
  <si>
    <t>isomeric_smiles</t>
  </si>
  <si>
    <t>C.[He]</t>
  </si>
  <si>
    <t>C.[HH]</t>
  </si>
  <si>
    <t>C.N#N</t>
  </si>
  <si>
    <t>C.[C-]#[O+]</t>
  </si>
  <si>
    <t>C.[Ar]</t>
  </si>
  <si>
    <t>C.O=O</t>
  </si>
  <si>
    <t>C.[Kr]</t>
  </si>
  <si>
    <t>C.C=C</t>
  </si>
  <si>
    <t>C.CC</t>
  </si>
  <si>
    <t>C.[N-]=[N+]=O</t>
  </si>
  <si>
    <t>C.C(=O)=O</t>
  </si>
  <si>
    <t>C.S</t>
  </si>
  <si>
    <t>C.C(=O)=S</t>
  </si>
  <si>
    <t>C.CC=C</t>
  </si>
  <si>
    <t>C.CCC</t>
  </si>
  <si>
    <t>C.C(F)(F)Cl</t>
  </si>
  <si>
    <t>C.N</t>
  </si>
  <si>
    <t>C.COC</t>
  </si>
  <si>
    <t>C.CC(C)C</t>
  </si>
  <si>
    <t>C.O=S=O</t>
  </si>
  <si>
    <t>C.C(C(C(F)(F)F)(F)F)(C(F)(F)F)(F)F</t>
  </si>
  <si>
    <t>C.CCCC</t>
  </si>
  <si>
    <t>C.CC(C)(C)C</t>
  </si>
  <si>
    <t>C.CCC(C)C</t>
  </si>
  <si>
    <t>C.CCCCC</t>
  </si>
  <si>
    <t>C.CO</t>
  </si>
  <si>
    <t>C.CCCCCC</t>
  </si>
  <si>
    <t>C.CCO</t>
  </si>
  <si>
    <t>C.C1=CC=CC=C1</t>
  </si>
  <si>
    <t>C.C1CCCCC1</t>
  </si>
  <si>
    <t>C.CCCCCCC</t>
  </si>
  <si>
    <t>C.O</t>
  </si>
  <si>
    <t>C.CC1CCCCC1</t>
  </si>
  <si>
    <t>C.CC1=CC=CC=C1</t>
  </si>
  <si>
    <t>C.CCCCCCCC</t>
  </si>
  <si>
    <t>C.CCCCCCCCC</t>
  </si>
  <si>
    <t>C.CCCCCCCCCC</t>
  </si>
  <si>
    <t>C.CCCCCCCCCCCC</t>
  </si>
  <si>
    <t>[He].[HH]</t>
  </si>
  <si>
    <t>[He].[Ne]</t>
  </si>
  <si>
    <t>[He].N#N</t>
  </si>
  <si>
    <t>[He].[C-]#[O+]</t>
  </si>
  <si>
    <t>[He].[Ar]</t>
  </si>
  <si>
    <t>[He].O=O</t>
  </si>
  <si>
    <t>[He].[Kr]</t>
  </si>
  <si>
    <t>[He].CC</t>
  </si>
  <si>
    <t>[He].C(=O)=O</t>
  </si>
  <si>
    <t>[He].S</t>
  </si>
  <si>
    <t>[He].CCC</t>
  </si>
  <si>
    <t>[He].CC(C)C</t>
  </si>
  <si>
    <t>[He].CCCC</t>
  </si>
  <si>
    <t>[He].CCC(C)C</t>
  </si>
  <si>
    <t>[He].CCCCC</t>
  </si>
  <si>
    <t>[He].CCCCCC</t>
  </si>
  <si>
    <t>[He].CCCCCCC</t>
  </si>
  <si>
    <t>[He].O</t>
  </si>
  <si>
    <t>[He].CCCCCCCC</t>
  </si>
  <si>
    <t>[He].CCCCCCCCC</t>
  </si>
  <si>
    <t>[He].CCCCCCCCCC</t>
  </si>
  <si>
    <t>[HH].[HH]</t>
  </si>
  <si>
    <t>[HH].[2H][2H]</t>
  </si>
  <si>
    <t>[HH].[Ne]</t>
  </si>
  <si>
    <t>[HH].N#N</t>
  </si>
  <si>
    <t>[HH].[C-]#[O+]</t>
  </si>
  <si>
    <t>[HH].[Ar]</t>
  </si>
  <si>
    <t>[HH].O=O</t>
  </si>
  <si>
    <t>[HH].CC</t>
  </si>
  <si>
    <t>[HH].C(=O)=O</t>
  </si>
  <si>
    <t>[HH].S</t>
  </si>
  <si>
    <t>[HH].CCC</t>
  </si>
  <si>
    <t>[HH].CC(C)C</t>
  </si>
  <si>
    <t>[HH].CCCC</t>
  </si>
  <si>
    <t>[HH].CCC(C)C</t>
  </si>
  <si>
    <t>[HH].CCCCC</t>
  </si>
  <si>
    <t>[HH].CCCCCC</t>
  </si>
  <si>
    <t>[HH].CCCCCCC</t>
  </si>
  <si>
    <t>[HH].O</t>
  </si>
  <si>
    <t>[HH].CCCCCCCC</t>
  </si>
  <si>
    <t>[HH].CCCCCCCCC</t>
  </si>
  <si>
    <t>[HH].CCCCCCCCCC</t>
  </si>
  <si>
    <t>[2H][2H].[Ne]</t>
  </si>
  <si>
    <t>[2H][2H].N#N</t>
  </si>
  <si>
    <t>[Ne].N#N</t>
  </si>
  <si>
    <t>[Ne].[Ar]</t>
  </si>
  <si>
    <t>[Ne].O=O</t>
  </si>
  <si>
    <t>[Ne].[Kr]</t>
  </si>
  <si>
    <t>[Ne].[Xe]</t>
  </si>
  <si>
    <t>N#N.[C-]#[O+]</t>
  </si>
  <si>
    <t>N#N.[Ar]</t>
  </si>
  <si>
    <t>N#N.O=O</t>
  </si>
  <si>
    <t>N#N.C(F)(F)(F)F</t>
  </si>
  <si>
    <t>N#N.C=C</t>
  </si>
  <si>
    <t>N#N.CC</t>
  </si>
  <si>
    <t>N#N.C(F)(F)(F)Cl</t>
  </si>
  <si>
    <t>N#N.C(=O)=O</t>
  </si>
  <si>
    <t>N#N.S</t>
  </si>
  <si>
    <t>N#N.CC=C</t>
  </si>
  <si>
    <t>N#N.CCC</t>
  </si>
  <si>
    <t>N#N.C(F)(F)Cl</t>
  </si>
  <si>
    <t>N#N.N</t>
  </si>
  <si>
    <t>N#N.C(F)(F)(Cl)Cl</t>
  </si>
  <si>
    <t>N#N.COC</t>
  </si>
  <si>
    <t>N#N.C(F)(F)(F)I</t>
  </si>
  <si>
    <t>N#N.C(C(F)(F)F)(C(F)(F)F)F</t>
  </si>
  <si>
    <t>N#N.CC(C)C</t>
  </si>
  <si>
    <t>N#N.O=S=O</t>
  </si>
  <si>
    <t>N#N.CCCC</t>
  </si>
  <si>
    <t>N#N.CCC(C)C</t>
  </si>
  <si>
    <t>N#N.CCCCC</t>
  </si>
  <si>
    <t>N#N.C(=O)(C(C(F)(F)F)(C(F)(F)F)F)C(C(F)(F)F)(F)F</t>
  </si>
  <si>
    <t>N#N.C1CCCC1</t>
  </si>
  <si>
    <t>N#N.CO</t>
  </si>
  <si>
    <t>N#N.CCCCCC</t>
  </si>
  <si>
    <t>N#N.CCO</t>
  </si>
  <si>
    <t>N#N.C1=CC=CC=C1</t>
  </si>
  <si>
    <t>N#N.C1CCCCC1</t>
  </si>
  <si>
    <t>N#N.CCCCCCC</t>
  </si>
  <si>
    <t>N#N.CC(C)CC(C)(C)C</t>
  </si>
  <si>
    <t>N#N.O</t>
  </si>
  <si>
    <t>N#N.CC1CCCCC1</t>
  </si>
  <si>
    <t>N#N.CC1=CC=CC=C1</t>
  </si>
  <si>
    <t>N#N.CCCCCCCC</t>
  </si>
  <si>
    <t>N#N.CC1=CC=C(C=C1)C</t>
  </si>
  <si>
    <t>N#N.CCCCCCCCC</t>
  </si>
  <si>
    <t>N#N.CCCC1CCCCC1</t>
  </si>
  <si>
    <t>N#N.CCCCCCCCCC</t>
  </si>
  <si>
    <t>N#N.CCCCCCCCCCCC</t>
  </si>
  <si>
    <t>[C-]#[O+].[Ar]</t>
  </si>
  <si>
    <t>[C-]#[O+].O=O</t>
  </si>
  <si>
    <t>[C-]#[O+].C=C</t>
  </si>
  <si>
    <t>[C-]#[O+].CC</t>
  </si>
  <si>
    <t>[C-]#[O+].C(=O)=O</t>
  </si>
  <si>
    <t>[C-]#[O+].S</t>
  </si>
  <si>
    <t>[C-]#[O+].CC=C</t>
  </si>
  <si>
    <t>[C-]#[O+].CCC</t>
  </si>
  <si>
    <t>[C-]#[O+].CC(C)C</t>
  </si>
  <si>
    <t>[C-]#[O+].O=S=O</t>
  </si>
  <si>
    <t>[C-]#[O+].CCC=C</t>
  </si>
  <si>
    <t>[C-]#[O+].CCCC</t>
  </si>
  <si>
    <t>[C-]#[O+].CCC(C)C</t>
  </si>
  <si>
    <t>[C-]#[O+].CCCCC</t>
  </si>
  <si>
    <t>[C-]#[O+].CCCCCC</t>
  </si>
  <si>
    <t>[C-]#[O+].CCO</t>
  </si>
  <si>
    <t>[C-]#[O+].C1=CC=CC=C1</t>
  </si>
  <si>
    <t>[C-]#[O+].C1CCCCC1</t>
  </si>
  <si>
    <t>[C-]#[O+].CCCCCCC</t>
  </si>
  <si>
    <t>[C-]#[O+].O</t>
  </si>
  <si>
    <t>[C-]#[O+].CC1=CC=CC=C1</t>
  </si>
  <si>
    <t>[C-]#[O+].CCCCCCCC</t>
  </si>
  <si>
    <t>[C-]#[O+].CC1=CC=C(C=C1)C</t>
  </si>
  <si>
    <t>[C-]#[O+].CC1=CC(=CC=C1)C</t>
  </si>
  <si>
    <t>[C-]#[O+].CCCCCCCCC</t>
  </si>
  <si>
    <t>[C-]#[O+].CCCCCCCCCC</t>
  </si>
  <si>
    <t>[C-]#[O+].CCCCCCCCCCCC</t>
  </si>
  <si>
    <t>[Ar].O=O</t>
  </si>
  <si>
    <t>[Ar].[Kr]</t>
  </si>
  <si>
    <t>[Ar].CC</t>
  </si>
  <si>
    <t>[Ar].C(=O)=O</t>
  </si>
  <si>
    <t>[Ar].S</t>
  </si>
  <si>
    <t>[Ar].CC=C</t>
  </si>
  <si>
    <t>[Ar].CCC</t>
  </si>
  <si>
    <t>[Ar].C(F)(F)Cl</t>
  </si>
  <si>
    <t>[Ar].N</t>
  </si>
  <si>
    <t>[Ar].CC(C)C</t>
  </si>
  <si>
    <t>[Ar].CCCC</t>
  </si>
  <si>
    <t>[Ar].CC(C)(C)C</t>
  </si>
  <si>
    <t>[Ar].CCC(C)C</t>
  </si>
  <si>
    <t>[Ar].CCCCC</t>
  </si>
  <si>
    <t>[Ar].C1CCCC1</t>
  </si>
  <si>
    <t>[Ar].CO</t>
  </si>
  <si>
    <t>[Ar].CCCCCC</t>
  </si>
  <si>
    <t>[Ar].CCO</t>
  </si>
  <si>
    <t>[Ar].C1=CC=CC=C1</t>
  </si>
  <si>
    <t>[Ar].CCCCCCC</t>
  </si>
  <si>
    <t>[Ar].O</t>
  </si>
  <si>
    <t>[Ar].CC1=CC=CC=C1</t>
  </si>
  <si>
    <t>[Ar].CCCCCCCC</t>
  </si>
  <si>
    <t>[Ar].CCCCCCCCC</t>
  </si>
  <si>
    <t>[Ar].CCCCCCCCCC</t>
  </si>
  <si>
    <t>O=O.[Kr]</t>
  </si>
  <si>
    <t>O=O.CC</t>
  </si>
  <si>
    <t>O=O.[N-]=[N+]=O</t>
  </si>
  <si>
    <t>O=O.C(=O)=O</t>
  </si>
  <si>
    <t>O=O.S</t>
  </si>
  <si>
    <t>O=O.CC=C</t>
  </si>
  <si>
    <t>O=O.CCC</t>
  </si>
  <si>
    <t>O=O.CC(C)C</t>
  </si>
  <si>
    <t>O=O.O=S=O</t>
  </si>
  <si>
    <t>O=O.CCCC</t>
  </si>
  <si>
    <t>O=O.CCC(C)C</t>
  </si>
  <si>
    <t>O=O.CCCCC</t>
  </si>
  <si>
    <t>O=O.CO</t>
  </si>
  <si>
    <t>O=O.CCCCCC</t>
  </si>
  <si>
    <t>O=O.CCO</t>
  </si>
  <si>
    <t>O=O.C1=CC=CC=C1</t>
  </si>
  <si>
    <t>O=O.C1CCCCC1</t>
  </si>
  <si>
    <t>O=O.CCCCCCC</t>
  </si>
  <si>
    <t>O=O.O</t>
  </si>
  <si>
    <t>O=O.CC1=CC=CC=C1</t>
  </si>
  <si>
    <t>O=O.CCCCCCCC</t>
  </si>
  <si>
    <t>O=O.CCCCCCCCC</t>
  </si>
  <si>
    <t>O=O.CCCCCCCCCC</t>
  </si>
  <si>
    <t>[Kr].[Xe]</t>
  </si>
  <si>
    <t>[Kr].CC</t>
  </si>
  <si>
    <t>[Kr].C(=O)=O</t>
  </si>
  <si>
    <t>[Kr].CC=C</t>
  </si>
  <si>
    <t>[Kr].N</t>
  </si>
  <si>
    <t>C(F)(F)(F)F.CC</t>
  </si>
  <si>
    <t>C(F)(F)(F)F.C(F)(F)F</t>
  </si>
  <si>
    <t>C(F)(F)(F)F.C(F)(F)(F)Cl</t>
  </si>
  <si>
    <t>C(F)(F)(F)F.CC1=CC=CC=C1</t>
  </si>
  <si>
    <t>[Xe].C=C</t>
  </si>
  <si>
    <t>[Xe].CC</t>
  </si>
  <si>
    <t>[Xe].Cl</t>
  </si>
  <si>
    <t>[Xe].CF</t>
  </si>
  <si>
    <t>[Xe].FS(F)(F)(F)(F)F</t>
  </si>
  <si>
    <t>[Xe].CC=C</t>
  </si>
  <si>
    <t>[Xe].CCC</t>
  </si>
  <si>
    <t>[Xe].C1CC1</t>
  </si>
  <si>
    <t>[Xe].CCl</t>
  </si>
  <si>
    <t>[Xe].C1CCCC1</t>
  </si>
  <si>
    <t>[Xe].CO</t>
  </si>
  <si>
    <t>[Xe].CCCCCC</t>
  </si>
  <si>
    <t>C=C.CC</t>
  </si>
  <si>
    <t>C=C.C(=O)=O</t>
  </si>
  <si>
    <t>C=C.CC=C</t>
  </si>
  <si>
    <t>C=C.CCC</t>
  </si>
  <si>
    <t>C=C.C(=C(F)F)(C(F)(F)F)F</t>
  </si>
  <si>
    <t>C=C.CC(C)C</t>
  </si>
  <si>
    <t>C=C.CCC=C</t>
  </si>
  <si>
    <t>C=C.C(C(C(F)(F)F)(F)F)(C(F)(F)F)(F)F</t>
  </si>
  <si>
    <t>C=C.CCCC</t>
  </si>
  <si>
    <t>C=C.CCC(C)C</t>
  </si>
  <si>
    <t>C=C.CCOCC</t>
  </si>
  <si>
    <t>C=C.CCCCC</t>
  </si>
  <si>
    <t>C=C.CC(=O)C</t>
  </si>
  <si>
    <t>C=C.CO</t>
  </si>
  <si>
    <t>C=C.CCCCCC</t>
  </si>
  <si>
    <t>C=C.CCO</t>
  </si>
  <si>
    <t>C=C.C1=CC=CC=C1</t>
  </si>
  <si>
    <t>C=C.C1CCCCC1</t>
  </si>
  <si>
    <t>C=C.CCCCCCC</t>
  </si>
  <si>
    <t>C=C.CC1=CC=CC=C1</t>
  </si>
  <si>
    <t>C=C.CCCCCCCC</t>
  </si>
  <si>
    <t>C=C.CCCCCCCCC</t>
  </si>
  <si>
    <t>C=C.CCCCCCCCCC</t>
  </si>
  <si>
    <t>CC.Cl</t>
  </si>
  <si>
    <t>CC.C(F)(F)F</t>
  </si>
  <si>
    <t>CC.C(=O)=O</t>
  </si>
  <si>
    <t>CC.C(C(F)(F)F)(F)(F)F</t>
  </si>
  <si>
    <t>CC.S</t>
  </si>
  <si>
    <t>CC.CC=C</t>
  </si>
  <si>
    <t>CC.CCC</t>
  </si>
  <si>
    <t>CC.C(C(F)(F)F)(C(F)(F)F)(F)F</t>
  </si>
  <si>
    <t>CC.C(=C(F)F)(C(F)(F)F)F</t>
  </si>
  <si>
    <t>CC.COC</t>
  </si>
  <si>
    <t>CC.CC(C)C</t>
  </si>
  <si>
    <t>CC.C(C(C(F)(F)F)(F)F)(C(F)(F)F)(F)F</t>
  </si>
  <si>
    <t>CC.CCCC</t>
  </si>
  <si>
    <t>CC.CCC(C)C</t>
  </si>
  <si>
    <t>CC.CCCCC</t>
  </si>
  <si>
    <t>CC.CC(=O)C</t>
  </si>
  <si>
    <t>CC.CO</t>
  </si>
  <si>
    <t>CC.CCCCCC</t>
  </si>
  <si>
    <t>CC.CCO</t>
  </si>
  <si>
    <t>CC.C1=CC=CC=C1</t>
  </si>
  <si>
    <t>CC.C1CCCCC1</t>
  </si>
  <si>
    <t>CC.CCCCCCC</t>
  </si>
  <si>
    <t>CC.CC(C)CC(C)(C)C</t>
  </si>
  <si>
    <t>CC.O</t>
  </si>
  <si>
    <t>CC.CC1CCCCC1</t>
  </si>
  <si>
    <t>CC.CC1=CC=CC=C1</t>
  </si>
  <si>
    <t>CC.CCCCCCCC</t>
  </si>
  <si>
    <t>CC.CC1=CC(=CC=C1)C</t>
  </si>
  <si>
    <t>CC.CCCCCCCCC</t>
  </si>
  <si>
    <t>CC.CCCC1CCCCC1</t>
  </si>
  <si>
    <t>CC.CCCCCCCCCC</t>
  </si>
  <si>
    <t>CC.CCCCCCCCCCC</t>
  </si>
  <si>
    <t>CC.CCCCCCCCCCCC</t>
  </si>
  <si>
    <t>[N-]=[N+]=O.C(C(F)(F)F)(F)F</t>
  </si>
  <si>
    <t>[N-]=[N+]=O.CCCCCCCCCCCC</t>
  </si>
  <si>
    <t>Cl.CF</t>
  </si>
  <si>
    <t>Cl.C(F)F</t>
  </si>
  <si>
    <t>Cl.CCC</t>
  </si>
  <si>
    <t>Cl.ClCl</t>
  </si>
  <si>
    <t>Cl.CCl</t>
  </si>
  <si>
    <t>Cl.O=S=O</t>
  </si>
  <si>
    <t>Cl.C(F)(F)(Cl)Br</t>
  </si>
  <si>
    <t>Cl.CCCC</t>
  </si>
  <si>
    <t>Cl.CO</t>
  </si>
  <si>
    <t>Cl.CCCCCC</t>
  </si>
  <si>
    <t>C(F)(F)F.C(F)(F)(F)Cl</t>
  </si>
  <si>
    <t>C(F)(F)F.C(=O)=O</t>
  </si>
  <si>
    <t>C(F)(F)F.C(C(F)(F)F)(F)(F)F</t>
  </si>
  <si>
    <t>C(F)(F)F.FS(F)(F)(F)(F)F</t>
  </si>
  <si>
    <t>C(F)(F)F.C(F)F</t>
  </si>
  <si>
    <t>C(F)(F)F.C(C(F)(F)F)(F)F</t>
  </si>
  <si>
    <t>C(F)(F)F.CC=C</t>
  </si>
  <si>
    <t>C(F)(F)F.CC(F)(F)F</t>
  </si>
  <si>
    <t>C(F)(F)F.CCC</t>
  </si>
  <si>
    <t>C(F)(F)F.C(F)(F)Cl</t>
  </si>
  <si>
    <t>C(F)(F)F.C(F)(F)(Cl)Cl</t>
  </si>
  <si>
    <t>C(F)(F)F.C(C(F)(F)F)F</t>
  </si>
  <si>
    <t>C(F)(F)F.CC(F)F</t>
  </si>
  <si>
    <t>C(F)(F)F.C(C(F)(F)F)(C(F)(F)F)F</t>
  </si>
  <si>
    <t>C(F)(F)F.CC(C)C</t>
  </si>
  <si>
    <t>C(F)(F)F.CCCC</t>
  </si>
  <si>
    <t>C(F)(F)F.C(C(F)(F)Cl)(F)(F)Cl</t>
  </si>
  <si>
    <t>C(F)(F)F.C(F)(Cl)(Cl)Cl</t>
  </si>
  <si>
    <t>C(F)(F)F.CCC(C)C</t>
  </si>
  <si>
    <t>C(F)(F)F.CCCCC</t>
  </si>
  <si>
    <t>C(F)(F)F.C(C(Cl)(Cl)Cl)(F)(F)F</t>
  </si>
  <si>
    <t>C(F)(F)F.CCO</t>
  </si>
  <si>
    <t>C(F)(F)F.CC1=CC=CC=C1</t>
  </si>
  <si>
    <t>C(F)(F)(F)Cl.CC=C</t>
  </si>
  <si>
    <t>C(F)(F)(F)Cl.N</t>
  </si>
  <si>
    <t>C(F)(F)(F)Cl.C(F)(F)(Cl)Cl</t>
  </si>
  <si>
    <t>C(F)(F)(F)Cl.CC(C)C</t>
  </si>
  <si>
    <t>C(F)(F)(F)Cl.CCCC</t>
  </si>
  <si>
    <t>C(F)(F)(F)Cl.C(F)(Cl)(Cl)Cl</t>
  </si>
  <si>
    <t>C(F)(F)(F)Cl.C(C(F)(Cl)Cl)(F)(F)Cl</t>
  </si>
  <si>
    <t>C(=O)=O.CF</t>
  </si>
  <si>
    <t>C(=O)=O.C(C(F)(F)F)(F)(F)F</t>
  </si>
  <si>
    <t>C(=O)=O.S</t>
  </si>
  <si>
    <t>C(=O)=O.C(F)F</t>
  </si>
  <si>
    <t>C(=O)=O.C(=O)=S</t>
  </si>
  <si>
    <t>C(=O)=O.C(C(F)(F)F)(F)F</t>
  </si>
  <si>
    <t>C(=O)=O.CC=C</t>
  </si>
  <si>
    <t>C(=O)=O.CC(F)(F)F</t>
  </si>
  <si>
    <t>C(=O)=O.CCC</t>
  </si>
  <si>
    <t>C(=O)=O.C(F)(F)Cl</t>
  </si>
  <si>
    <t>C(=O)=O.C(=C(F)F)(C(F)(F)F)F</t>
  </si>
  <si>
    <t>C(=O)=O.C(F)(F)(Cl)Cl</t>
  </si>
  <si>
    <t>C(=O)=O.C=C(C(F)(F)F)F</t>
  </si>
  <si>
    <t>C(=O)=O.C(C(F)(F)F)F</t>
  </si>
  <si>
    <t>C(=O)=O.COC</t>
  </si>
  <si>
    <t>C(=O)=O.CC(F)F</t>
  </si>
  <si>
    <t>C(=O)=O.C(=C/F)\C(F)(F)F</t>
  </si>
  <si>
    <t>C(=O)=O.C(C(F)(F)F)(C(F)(F)F)F</t>
  </si>
  <si>
    <t>C(=O)=O.C(C(F)(F)F)(F)Cl</t>
  </si>
  <si>
    <t>C(=O)=O.CC(C)C</t>
  </si>
  <si>
    <t>C(=O)=O.O=S=O</t>
  </si>
  <si>
    <t>C(=O)=O.CC(F)(F)Cl</t>
  </si>
  <si>
    <t>C(=O)=O.CCC=C</t>
  </si>
  <si>
    <t>C(=O)=O.C(C(C(F)(F)F)(F)F)(C(F)(F)F)(F)F</t>
  </si>
  <si>
    <t>C(=O)=O.CCCC</t>
  </si>
  <si>
    <t>C(=O)=O.CC(C)(C)C</t>
  </si>
  <si>
    <t>C(=O)=O.C(C(F)(F)F)(Cl)Cl</t>
  </si>
  <si>
    <t>C(=O)=O.CCC(C)C</t>
  </si>
  <si>
    <t>C(=O)=O.CCOCC</t>
  </si>
  <si>
    <t>C(=O)=O.CCCCC</t>
  </si>
  <si>
    <t>C(=O)=O.C(=O)(C(C(F)(F)F)(C(F)(F)F)F)C(C(F)(F)F)(F)F</t>
  </si>
  <si>
    <t>C(=O)=O.C1CCCC1</t>
  </si>
  <si>
    <t>C(=O)=O.CC(=O)C</t>
  </si>
  <si>
    <t>C(=O)=O.CO</t>
  </si>
  <si>
    <t>C(=O)=O.CCCCCC</t>
  </si>
  <si>
    <t>C(=O)=O.C1=CC=CC=C1</t>
  </si>
  <si>
    <t>C(=O)=O.C1CCCCC1</t>
  </si>
  <si>
    <t>C(=O)=O.COC(=O)OC</t>
  </si>
  <si>
    <t>C(=O)=O.CCCCCCC</t>
  </si>
  <si>
    <t>C(=O)=O.O</t>
  </si>
  <si>
    <t>C(=O)=O.CC1CCCCC1</t>
  </si>
  <si>
    <t>C(=O)=O.CC1=CC=CC=C1</t>
  </si>
  <si>
    <t>C(=O)=O.CCCCCCCC</t>
  </si>
  <si>
    <t>C(=O)=O.CCC1=CC=CC=C1</t>
  </si>
  <si>
    <t>C(=O)=O.CC1=CC=C(C=C1)C</t>
  </si>
  <si>
    <t>C(=O)=O.CC1=CC=CC=C1C</t>
  </si>
  <si>
    <t>C(=O)=O.CCCCCCCCC</t>
  </si>
  <si>
    <t>C(=O)=O.CCCCCCCCCC</t>
  </si>
  <si>
    <t>C(=O)=O.CCCCCCCCCCC</t>
  </si>
  <si>
    <t>C(=O)=O.CCCCCCCCCCCC</t>
  </si>
  <si>
    <t>C(=O)=O.CCCCCCCCCCCCCCCCCC(=O)OC</t>
  </si>
  <si>
    <t>CF.CCl</t>
  </si>
  <si>
    <t>CCl.CC1=CC=CC=C1</t>
  </si>
  <si>
    <t>C(C(F)(F)F)(F)(F).CC=C</t>
  </si>
  <si>
    <t>C(C(F)(F)F)(F)(F).CC(F)(F)F</t>
  </si>
  <si>
    <t>C(C(F)(F)F)(F)(F).CCC</t>
  </si>
  <si>
    <t>C(C(F)(F)F)(F)(F).C(F)(F)Cl</t>
  </si>
  <si>
    <t>C(C(F)(F)F)(F)(F)F.C(C(F)(F)F)F</t>
  </si>
  <si>
    <t>FS(F)(F)(F)(F)F.C(F)F</t>
  </si>
  <si>
    <t>FS(F)(F)(F)(F)F.CCC</t>
  </si>
  <si>
    <t>FS(F)(F)(F)(F)F.CCCCC</t>
  </si>
  <si>
    <t>FS(F)(F)(F)(F)F.C(C(F)(Cl)Cl)(F)(F)Cl</t>
  </si>
  <si>
    <t>S.C(=O)=S</t>
  </si>
  <si>
    <t>S.CCC</t>
  </si>
  <si>
    <t>S.CC(C)C</t>
  </si>
  <si>
    <t>S.CCCC</t>
  </si>
  <si>
    <t>S.CC(C)(C)C</t>
  </si>
  <si>
    <t>S.CCC(C)C</t>
  </si>
  <si>
    <t>S.CCCCC</t>
  </si>
  <si>
    <t>S.CC(=O)C</t>
  </si>
  <si>
    <t>S.CO</t>
  </si>
  <si>
    <t>S.CCCCCC</t>
  </si>
  <si>
    <t>S.C1=CC=CC=C1</t>
  </si>
  <si>
    <t>S.C1CCCCC1</t>
  </si>
  <si>
    <t>S.CCCCCCC</t>
  </si>
  <si>
    <t>S.CC(C)CC(C)(C)C</t>
  </si>
  <si>
    <t>S.O</t>
  </si>
  <si>
    <t>S.CC1CCCCC1</t>
  </si>
  <si>
    <t>S.CC1=CC=CC=C1</t>
  </si>
  <si>
    <t>S.CCCCCCCC</t>
  </si>
  <si>
    <t>S.CC1=CC(=CC=C1)C</t>
  </si>
  <si>
    <t>S.CCCCCCCCC</t>
  </si>
  <si>
    <t>S.CCCC1CCCCC1</t>
  </si>
  <si>
    <t>S.CCCCCCCCCC</t>
  </si>
  <si>
    <t>S.C(CO)O</t>
  </si>
  <si>
    <t>S.CCCCCCCCCCCC</t>
  </si>
  <si>
    <t>C(F)F.C(C(F)(F)F)(F)F</t>
  </si>
  <si>
    <t>C(F)F.CC=C</t>
  </si>
  <si>
    <t>C(F)F.CC(F)(F)F</t>
  </si>
  <si>
    <t>C(F)F.CCC</t>
  </si>
  <si>
    <t>C(F)F.C(F)(F)Cl</t>
  </si>
  <si>
    <t>C(F)F.C(C(F)(F)Cl)(F)(F)F</t>
  </si>
  <si>
    <t>C(F)F.CCF</t>
  </si>
  <si>
    <t>C(F)F.C(F)(F)(Cl)Cl</t>
  </si>
  <si>
    <t>C(F)F.C=C(C(F)(F)F)F</t>
  </si>
  <si>
    <t>C(F)F.C(C(F)(F)F)F</t>
  </si>
  <si>
    <t>C(F)F.COC</t>
  </si>
  <si>
    <t>C(F)F.CC(F)F</t>
  </si>
  <si>
    <t>C(F)F.C(=C/F)\C(F)(F)F</t>
  </si>
  <si>
    <t>C(F)F.C(C(F)(F)F)(C(F)(F)F)F</t>
  </si>
  <si>
    <t>C(F)F.CC(C)C</t>
  </si>
  <si>
    <t>C(F)F.O=S=O</t>
  </si>
  <si>
    <t>C(F)F.CC(F)(F)Cl</t>
  </si>
  <si>
    <t>C(F)F.CCC=C</t>
  </si>
  <si>
    <t>C(F)F.C(C(F)(F)F)C(F)(F)F</t>
  </si>
  <si>
    <t>C(F)F.CCCC</t>
  </si>
  <si>
    <t>C(F)F.C(C(F)F)(C(F)(F)F)F</t>
  </si>
  <si>
    <t>C(F)F.C(C(F)(F)F)(Cl)Cl</t>
  </si>
  <si>
    <t>C(F)F.CCC(C)C</t>
  </si>
  <si>
    <t>C(F)F.CO</t>
  </si>
  <si>
    <t>C(F)F.CCO</t>
  </si>
  <si>
    <t>C(F)F.CC1=CC=CC=C1</t>
  </si>
  <si>
    <t>C(=O)=S.CCC</t>
  </si>
  <si>
    <t>C(=O)=S.CO</t>
  </si>
  <si>
    <t>C(C(F)(F)F)(F)F.CC=C</t>
  </si>
  <si>
    <t>C(C(F)(F)F)(F)F.CC(F)(F)F</t>
  </si>
  <si>
    <t>C(C(F)(F)F)(F)F.CCC</t>
  </si>
  <si>
    <t>C(C(F)(F)F)(F)F.C(F)(F)Cl</t>
  </si>
  <si>
    <t>C(C(F)(F)F)(F)F.C(C(F)(F)Cl)(F)(F)F</t>
  </si>
  <si>
    <t>C(C(F)(F)F)(F)F.CCF</t>
  </si>
  <si>
    <t>C(C(F)(F)F)(F)F.N</t>
  </si>
  <si>
    <t>C(C(F)(F)F)(F)F.C1CC1</t>
  </si>
  <si>
    <t>C(C(F)(F)F)(F)F.C=C(C(F)(F)F)F</t>
  </si>
  <si>
    <t>C(C(F)(F)F)(F)F.C(C(F)(F)F)F</t>
  </si>
  <si>
    <t>C(C(F)(F)F)(F)F.COC</t>
  </si>
  <si>
    <t>C(C(F)(F)F)(F)F.CC(F)F</t>
  </si>
  <si>
    <t>C(C(F)(F)F)(F)F.COC(F)(F)F</t>
  </si>
  <si>
    <t>C(C(F)(F)F)(F)F.C(=C/F)\C(F)(F)F</t>
  </si>
  <si>
    <t>C(C(F)(F)F)(F)F.C(C(F)(F)F)(C(F)(F)F)F</t>
  </si>
  <si>
    <t>C(C(F)(F)F)(F)F.CC(C)C</t>
  </si>
  <si>
    <t>C(C(F)(F)F)(F)F.C(C(F)(F)F)C(F)(F)F</t>
  </si>
  <si>
    <t>C(C(F)(F)F)(F)F.CCCC</t>
  </si>
  <si>
    <t>C(C(F)(F)F)(F)F.C(C(F)F)(C(F)(F)F)F</t>
  </si>
  <si>
    <t>C(C(F)(F)F)(F)F.C(C(F)F)C(F)(F)F</t>
  </si>
  <si>
    <t>C(C(F)(F)F)(F)F.CCC(C)C</t>
  </si>
  <si>
    <t>C(C(F)(F)F)(F)F.CCO</t>
  </si>
  <si>
    <t>CC=C.CCC</t>
  </si>
  <si>
    <t>CC=C.C(F)(F)Cl</t>
  </si>
  <si>
    <t>CC=C.N</t>
  </si>
  <si>
    <t>CC=C.C(=C(F)F)(C(F)(F)F)F</t>
  </si>
  <si>
    <t>CC=C.C(F)(F)(Cl)Cl</t>
  </si>
  <si>
    <t>CC=C.C(C(F)(F)F)F</t>
  </si>
  <si>
    <t>CC=C.COC</t>
  </si>
  <si>
    <t>CC=C.CC(F)F</t>
  </si>
  <si>
    <t>CC=C.CC(C)C</t>
  </si>
  <si>
    <t>CC=C.CC(F)(F)Cl</t>
  </si>
  <si>
    <t>CC=C.CCC=C</t>
  </si>
  <si>
    <t>CC=C.CCCC</t>
  </si>
  <si>
    <t>CC=C.C(C(F)(F)Cl)(F)(F)Cl</t>
  </si>
  <si>
    <t>CC=C.CCC(C)C</t>
  </si>
  <si>
    <t>CC=C.CCCCC</t>
  </si>
  <si>
    <t>CC=C.CC(=O)C</t>
  </si>
  <si>
    <t>CC=C.CO</t>
  </si>
  <si>
    <t>CC=C.CCCCCC</t>
  </si>
  <si>
    <t>CC=C.CCO</t>
  </si>
  <si>
    <t>CC=C.C1=CC=CC=C1</t>
  </si>
  <si>
    <t>CC=C.C1CCCCC1</t>
  </si>
  <si>
    <t>CC=C.CCCCCCC</t>
  </si>
  <si>
    <t>CC=C.CC(C)CC(C)(C)C</t>
  </si>
  <si>
    <t>CC=C.O</t>
  </si>
  <si>
    <t>CC=C.CC1=CC=CC=C1</t>
  </si>
  <si>
    <t>CC=C.CCCCCCCC</t>
  </si>
  <si>
    <t>CC=C.CC1=CC=C(C=C1)C</t>
  </si>
  <si>
    <t>CC=C.CC1=CC(=CC=C1)C</t>
  </si>
  <si>
    <t>CC=C.CCCCCCCCC</t>
  </si>
  <si>
    <t>CC=C.CCCCCCCCCC</t>
  </si>
  <si>
    <t>CC(F)(F)F.CCC</t>
  </si>
  <si>
    <t>CC(F)(F)F.C(F)(F)Cl</t>
  </si>
  <si>
    <t>CC(F)(F)F.CCF</t>
  </si>
  <si>
    <t>CC(F)(F)F.C(F)(F)(Cl)Cl</t>
  </si>
  <si>
    <t>CC(F)(F)F.C=C(C(F)(F)F)F</t>
  </si>
  <si>
    <t>CC(F)(F)F.C(C(F)(F)F)F</t>
  </si>
  <si>
    <t>CC(F)(F)F.COC</t>
  </si>
  <si>
    <t>CC(F)(F)F.CC(F)F</t>
  </si>
  <si>
    <t>CC(F)(F)F.CC(C)C</t>
  </si>
  <si>
    <t>CC(F)(F)F.CC(=C)C</t>
  </si>
  <si>
    <t>CC(F)(F)F.C(C(F)(F)F)C(F)(F)F</t>
  </si>
  <si>
    <t>CC(F)(F)F.CCCC</t>
  </si>
  <si>
    <t>CCC.C(F)(F)Cl</t>
  </si>
  <si>
    <t>CCC.C(C(F)(F)Cl)(F)(F)F</t>
  </si>
  <si>
    <t>CCC.N</t>
  </si>
  <si>
    <t>CCC.C1CC1</t>
  </si>
  <si>
    <t>CCC.C(=C(F)F)(C(F)(F)F)F</t>
  </si>
  <si>
    <t>CCC.C(C(F)(F)F)F</t>
  </si>
  <si>
    <t>CCC.COC</t>
  </si>
  <si>
    <t>CCC.CC(F)F</t>
  </si>
  <si>
    <t>CCC.C(F)(F)(F)I</t>
  </si>
  <si>
    <t>CCC.C(C(F)(F)F)(C(F)(F)F)F</t>
  </si>
  <si>
    <t>CCC.CC(C)C</t>
  </si>
  <si>
    <t>CCC.O=S=O</t>
  </si>
  <si>
    <t>CCC.CC(=C)C</t>
  </si>
  <si>
    <t>CCC.C1(C(C(C1(F)F)(F)F)(F)F)(F)F</t>
  </si>
  <si>
    <t>CCC.C(C(C(F)(F)F)(F)F)(C(F)(F)F)(F)F</t>
  </si>
  <si>
    <t>CCC.C(C(F)(F)F)C(F)(F)F</t>
  </si>
  <si>
    <t>CCC.CCCC</t>
  </si>
  <si>
    <t>CCC.C(C(F)(F)Cl)(F)(F)Cl</t>
  </si>
  <si>
    <t>CCC.C(C(F)F)(C(F)(F)F)F</t>
  </si>
  <si>
    <t>CCC.CC(C)(C)C</t>
  </si>
  <si>
    <t>CCC.C(C(F)F)C(F)(F)F</t>
  </si>
  <si>
    <t>CCC.CCC(C)C</t>
  </si>
  <si>
    <t>CCC.CCCCC</t>
  </si>
  <si>
    <t>CCC.C(C(F)(Cl)Cl)(F)(F)Cl</t>
  </si>
  <si>
    <t>CCC.CC(=O)C</t>
  </si>
  <si>
    <t>CCC.CCCC(C)C</t>
  </si>
  <si>
    <t>CCC.CO</t>
  </si>
  <si>
    <t>CCC.CCCCCC</t>
  </si>
  <si>
    <t>CCC.CCO</t>
  </si>
  <si>
    <t>CCC.C1=CC=CC=C1</t>
  </si>
  <si>
    <t>CCC.C1CCCCC1</t>
  </si>
  <si>
    <t>CCC.CCCCCCC</t>
  </si>
  <si>
    <t>CCC.O</t>
  </si>
  <si>
    <t>CCC.CC1CCCCC1</t>
  </si>
  <si>
    <t>CCC.CC1=CC=CC=C1</t>
  </si>
  <si>
    <t>CCC.CCCCCCCC</t>
  </si>
  <si>
    <t>CCC.CC1=CC(=CC=C1)C</t>
  </si>
  <si>
    <t>CCC.CCCCCCCCC</t>
  </si>
  <si>
    <t>CCC.CCCC1CCCCC1</t>
  </si>
  <si>
    <t>CCC.CCCCCCCCCC</t>
  </si>
  <si>
    <t>CCC.CCCCCCCCCCCC</t>
  </si>
  <si>
    <t>CCC.CCCCCCCCCCCCCCCC(=O)OC</t>
  </si>
  <si>
    <t>C(F)(F)Cl.C(C(F)(F)Cl)(F)(F)F</t>
  </si>
  <si>
    <t>C(F)(F)Cl.C(C(F)(F)F)(C(F)(F)F)(F)F</t>
  </si>
  <si>
    <t>C(F)(F)Cl.C(=C(F)F)(C(F)(F)F)F</t>
  </si>
  <si>
    <t>C(F)(F)Cl.C(F)(F)(Cl)Cl</t>
  </si>
  <si>
    <t>C(F)(F)Cl.C(C(F)(F)F)F</t>
  </si>
  <si>
    <t>C(F)(F)Cl.COC</t>
  </si>
  <si>
    <t>C(F)(F)Cl.CC(F)F</t>
  </si>
  <si>
    <t>C(F)(F)Cl.C(C(F)(F)F)(F)Cl</t>
  </si>
  <si>
    <t>C(F)(F)Cl.C(F)(F)(Cl)Br</t>
  </si>
  <si>
    <t>C(F)(F)Cl.C1(C(C(C1(F)F)(F)F)(F)F)(F)F</t>
  </si>
  <si>
    <t>C(F)(F)Cl.C(C(F)(F)Cl)(F)(F)Cl</t>
  </si>
  <si>
    <t>C(F)(F)Cl.C(F)(Cl)(Cl)Cl</t>
  </si>
  <si>
    <t>C(F)(F)Cl.C(C(F)(F)F)(Cl)Cl</t>
  </si>
  <si>
    <t>C(F)(F)Cl.CCCCC</t>
  </si>
  <si>
    <t>C(F)(F)Cl.C(F)(F)Cl</t>
  </si>
  <si>
    <t>C(F)(F)Cl.CC(=O)C</t>
  </si>
  <si>
    <t>C(F)(F)Cl.CO</t>
  </si>
  <si>
    <t>C(F)(F)Cl.CCCCCC</t>
  </si>
  <si>
    <t>C(F)(F)Cl.CCO</t>
  </si>
  <si>
    <t>C(F)(F)Cl.C1=CC=CC=C1</t>
  </si>
  <si>
    <t>C(F)(F)Cl.C1CCCCC1</t>
  </si>
  <si>
    <t>C(C(F)(F)Cl)(F)(F)F.C(C(F)(F)Cl)(F)(F)Cl</t>
  </si>
  <si>
    <t>CCF.C=C(C(F)(F)F)F</t>
  </si>
  <si>
    <t>CCF.C(C(F)(F)F)F</t>
  </si>
  <si>
    <t>CCF.C(C(F)(F)F)(C(F)(F)F)F</t>
  </si>
  <si>
    <t>C(C(F)(F)F)(C(F)(F)F)(F)F.C(C(F)(F)F)F</t>
  </si>
  <si>
    <t>C(C(F)(F)F)(C(F)(F)F)(F)F.CC(C)C</t>
  </si>
  <si>
    <t>C(C(F)(F)F)(C(F)(F)F)(F)F.C1(C(C(C1(F)F)(F)F)(F)F)(F)F</t>
  </si>
  <si>
    <t>N.C(C(F)(F)F)F</t>
  </si>
  <si>
    <t>N.COC</t>
  </si>
  <si>
    <t>N.CC#C</t>
  </si>
  <si>
    <t>N.CC(C)C</t>
  </si>
  <si>
    <t>N.CCCC</t>
  </si>
  <si>
    <t>N.CCC(C)C</t>
  </si>
  <si>
    <t>N.CCCCC</t>
  </si>
  <si>
    <t>N.CO</t>
  </si>
  <si>
    <t>N.CCCCCC</t>
  </si>
  <si>
    <t>N.CCO</t>
  </si>
  <si>
    <t>N.C1=CC=CC=C1</t>
  </si>
  <si>
    <t>N.C1CCCCC1</t>
  </si>
  <si>
    <t>N.CCCCCCC</t>
  </si>
  <si>
    <t>N.O</t>
  </si>
  <si>
    <t>N.CCCCCCCC</t>
  </si>
  <si>
    <t>N.CC1=CC(=CC=C1)C</t>
  </si>
  <si>
    <t>C1CC1.C(C(F)(F)F)F</t>
  </si>
  <si>
    <t>C(=C(F)F)(C(F)(F)F)F.C(F)(F)(Cl)Cl</t>
  </si>
  <si>
    <t>C(=C(F)F)(C(F)(F)F)F.CCC=C</t>
  </si>
  <si>
    <t>C(=C(F)F)(C(F)(F)F)F.C1(C(C(C1(F)F)(F)F)(F)F)(F)F</t>
  </si>
  <si>
    <t>C(=C(F)F)(C(F)(F)F)F.C(C(F)(F)F)(Cl)Cl</t>
  </si>
  <si>
    <t>C(C(F)(F)F)F.C(C(F)(F)F)F</t>
  </si>
  <si>
    <t>C(F)(F)(Cl)Cl.CC(F)F</t>
  </si>
  <si>
    <t>C(F)(F)(Cl)Cl.C(F)(F)(Cl)Br</t>
  </si>
  <si>
    <t>C(F)(F)(Cl)Cl.C1(C(C(C1(F)F)(F)F)(F)F)(F)F</t>
  </si>
  <si>
    <t>C(F)(F)(Cl)Cl.C(C(F)(F)Cl)(F)(F)Cl</t>
  </si>
  <si>
    <t>C(F)(F)(Cl)Cl.C(F)(Cl)(Cl)Cl</t>
  </si>
  <si>
    <t>C(F)(F)(Cl)Cl.CCOCC</t>
  </si>
  <si>
    <t>C(F)(F)(Cl)Cl.C(C(F)(Cl)Cl)(F)(F)Cl</t>
  </si>
  <si>
    <t>C(F)(F)(Cl)Cl.C1CCCCC1</t>
  </si>
  <si>
    <t>C(F)(F)(Cl)Cl.CCCCCCC</t>
  </si>
  <si>
    <t>C(F)(F)(Cl)Cl.CCCCCCCC</t>
  </si>
  <si>
    <t>C=C(C(F)(F)F)F.C(C(F)(F)F)F</t>
  </si>
  <si>
    <t>C=C(C(F)(F)F)F.CC(F)F</t>
  </si>
  <si>
    <t>C=C(C(F)(F)F)F.C(=C/F)\C(F)(F)F</t>
  </si>
  <si>
    <t>C=C(C(F)(F)F)F.C(C(F)(F)F)(C(F)(F)F)F</t>
  </si>
  <si>
    <t>C=C(C(F)(F)F)F.CC(C)C</t>
  </si>
  <si>
    <t>C(C(F)(F)F)F.COC</t>
  </si>
  <si>
    <t>C(C(F)(F)F)F.CC(F)F</t>
  </si>
  <si>
    <t>C(C(F)(F)F)F.CC(F)(F)F</t>
  </si>
  <si>
    <t>C(C(F)(F)F)F.C(=C/F)\C(F)(F)F</t>
  </si>
  <si>
    <t>C(C(F)(F)F)F.C(C(F)(F)F)(C(F)(F)F)F</t>
  </si>
  <si>
    <t>C(C(F)(F)F)F.C(C(F)(F)F)(F)Cl</t>
  </si>
  <si>
    <t>C(C(F)(F)F)F.CC(C)C</t>
  </si>
  <si>
    <t>C(C(F)(F)F)F.C(F)(F)(Cl)Br</t>
  </si>
  <si>
    <t>C(C(F)(F)F)F.C(C(F)(F)F)C(F)(F)F</t>
  </si>
  <si>
    <t>C(C(F)(F)F)F.CCCC</t>
  </si>
  <si>
    <t>C(C(F)(F)F)F.C(C(F)F)C(F)(F)F</t>
  </si>
  <si>
    <t>C(C(F)(F)F)F.C(C(F)(F)F)(Cl)Cl</t>
  </si>
  <si>
    <t>C(C(F)(F)F)F.CCC(C)C</t>
  </si>
  <si>
    <t>C(C(F)(F)F)F.CC(F)(Cl)Cl</t>
  </si>
  <si>
    <t>C(C(F)(F)F)F.CO</t>
  </si>
  <si>
    <t>C(C(F)(F)F)F.CCO</t>
  </si>
  <si>
    <t>COC.CCl</t>
  </si>
  <si>
    <t>COC.C(C(F)(F)F)(C(F)(F)F)F</t>
  </si>
  <si>
    <t>COC.CC(C)C</t>
  </si>
  <si>
    <t>COC.O=S=O</t>
  </si>
  <si>
    <t>COC.CCC=C</t>
  </si>
  <si>
    <t>COC.C(C(C(F)(F)F)(F)F)(C(F)(F)F)(F)F</t>
  </si>
  <si>
    <t>COC.C(C(F)(F)F)C(F)(F)F</t>
  </si>
  <si>
    <t>COC.CCCC</t>
  </si>
  <si>
    <t>COC.C(C(F)F)(C(F)(F)F)F</t>
  </si>
  <si>
    <t>COC.CCCCC</t>
  </si>
  <si>
    <t>COC.CO</t>
  </si>
  <si>
    <t>COC.CCCCCC</t>
  </si>
  <si>
    <t>COC.CCO</t>
  </si>
  <si>
    <t>COC.C1=CC=CC=C1</t>
  </si>
  <si>
    <t>COC.COC(=O)OC</t>
  </si>
  <si>
    <t>COC.CC1=CC=CC=C1</t>
  </si>
  <si>
    <t>COC.CCCCCCCCCC</t>
  </si>
  <si>
    <t>COC.CCCCCCCCCCCC</t>
  </si>
  <si>
    <t>CC(F)F.C(F)(F)(F)I</t>
  </si>
  <si>
    <t>CC(F)F.C(C(F)(F)F)(C(F)(F)F)F</t>
  </si>
  <si>
    <t>CC(F)F.C(C(F)(F)F)(F)Cl</t>
  </si>
  <si>
    <t>CC(F)F.CC(C)C</t>
  </si>
  <si>
    <t>CC(F)F.C(F)(F)(Cl)Br</t>
  </si>
  <si>
    <t>CC(F)F.CC(=C)C</t>
  </si>
  <si>
    <t>CC(F)F.CCCC</t>
  </si>
  <si>
    <t>CC(F)F.C(C(F)(F)Cl)(F)(F)Cl</t>
  </si>
  <si>
    <t>CC(F)F.CCCCC</t>
  </si>
  <si>
    <t>CC(F)F.C(C(F)(Cl)Cl)(F)(F)Cl</t>
  </si>
  <si>
    <t>CC(F)F.CO</t>
  </si>
  <si>
    <t>CC(F)F.CCO</t>
  </si>
  <si>
    <t>CCl.CC(=C)C</t>
  </si>
  <si>
    <t>C(F)(F)(F)I.CC(C)C</t>
  </si>
  <si>
    <t>C(=C/F)\C(F)(F)F.CCCCC</t>
  </si>
  <si>
    <t>C(C(F)(F)F)(C(F)(F)F)F.CC(C)C</t>
  </si>
  <si>
    <t>C(C(F)(F)F)(C(F)(F)F)F.CC(=C)C</t>
  </si>
  <si>
    <t>C(C(F)(F)F)(C(F)(F)F)F.CCCC</t>
  </si>
  <si>
    <t>C(C(F)(F)F)(F)Cl.CC(F)(F)Cl</t>
  </si>
  <si>
    <t>CC(C)C.CC(=C)C</t>
  </si>
  <si>
    <t>CC(C)C.CCC=C</t>
  </si>
  <si>
    <t>CC(C)C.CCCC</t>
  </si>
  <si>
    <t>CC(C)C.C(C(F)F)C(F)(F)F</t>
  </si>
  <si>
    <t>CC(C)C.CCC(C)C</t>
  </si>
  <si>
    <t>CC(C)C.CCCCC</t>
  </si>
  <si>
    <t>CC(C)C.CC(=O)C</t>
  </si>
  <si>
    <t>CC(C)C.CO</t>
  </si>
  <si>
    <t>CC(C)C.CCCCCC</t>
  </si>
  <si>
    <t>CC(C)C.CCO</t>
  </si>
  <si>
    <t>CC(C)C.C1=CC=CC=C1</t>
  </si>
  <si>
    <t>CC(C)C.C1CCCCC1</t>
  </si>
  <si>
    <t>CC(C)C.CCCCCCC</t>
  </si>
  <si>
    <t>CC(C)C.O</t>
  </si>
  <si>
    <t>CC(C)C.CC1CCCCC1</t>
  </si>
  <si>
    <t>CC(C)C.CC1=CC=CC=C1</t>
  </si>
  <si>
    <t>CC(C)C.CCCCCCCC</t>
  </si>
  <si>
    <t>CC(C)C.CCCCCCCCC</t>
  </si>
  <si>
    <t>CC(C)C.CCCCCCCCCC</t>
  </si>
  <si>
    <t>CC(C)C.CCCCCCCCCCCC</t>
  </si>
  <si>
    <t>O=S=O.CC(=C)C</t>
  </si>
  <si>
    <t>O=S=O.CCOCC</t>
  </si>
  <si>
    <t>O=S=O.CC(=O)C</t>
  </si>
  <si>
    <t>O=S=O.CO</t>
  </si>
  <si>
    <t>O=S=O.CCO</t>
  </si>
  <si>
    <t>O=S=O.C1=CC=CC=C1</t>
  </si>
  <si>
    <t>O=S=O.O</t>
  </si>
  <si>
    <t>O=S=O.CC1=CC=CC=C1</t>
  </si>
  <si>
    <t>O=S=O.C(CO)O</t>
  </si>
  <si>
    <t>CC(F)(F)Cl.CC(F)(Cl)Cl</t>
  </si>
  <si>
    <t>CC(F)(F)Cl.C(C(F)(Cl)Cl)(F)(F)Cl</t>
  </si>
  <si>
    <t>CC(=C)C.CCCC</t>
  </si>
  <si>
    <t>CC(=C)C.CC(=O)C</t>
  </si>
  <si>
    <t>CC(=C)C.CO</t>
  </si>
  <si>
    <t>CC(=C)C.CCO</t>
  </si>
  <si>
    <t>CC(=C)C.C1=CC=CC=C1</t>
  </si>
  <si>
    <t>CC(=C)C.C1CCCCC1</t>
  </si>
  <si>
    <t>CC(=C)C.CCCCCCCC</t>
  </si>
  <si>
    <t>CCC=C.C(C(C(F)(F)F)(F)F)(C(F)(F)F)(F)F</t>
  </si>
  <si>
    <t>CCC=C.CCCC</t>
  </si>
  <si>
    <t>CCC=C.CC(=O)C</t>
  </si>
  <si>
    <t>CCC=C.CO</t>
  </si>
  <si>
    <t>CCC=C.CCO</t>
  </si>
  <si>
    <t>CCC=C.C1=CC=CC=C1</t>
  </si>
  <si>
    <t>CCC=C.C1CCCCC1</t>
  </si>
  <si>
    <t>C(C(C(F)(F)F)(F)F)(C(F)(F)F)(F)F.CC(CC(F)(F)F)(F)F</t>
  </si>
  <si>
    <t>CCCC.C/C=C/C</t>
  </si>
  <si>
    <t>CCCC.C/C=C\C</t>
  </si>
  <si>
    <t>CCCC.C(C(F)F)C(F)(F)F</t>
  </si>
  <si>
    <t>CCCC.CCC(C)C</t>
  </si>
  <si>
    <t>CCCC.CCCCC</t>
  </si>
  <si>
    <t>CCCC.C(C(F)(Cl)Cl)(F)(F)Cl</t>
  </si>
  <si>
    <t>CCCC.CC(=O)C</t>
  </si>
  <si>
    <t>CCCC.CO</t>
  </si>
  <si>
    <t>CCCC.CCCCCC</t>
  </si>
  <si>
    <t>CCCC.CCO</t>
  </si>
  <si>
    <t>CCCC.C1=CC=CC=C1</t>
  </si>
  <si>
    <t>CCCC.C1CCCCC1</t>
  </si>
  <si>
    <t>CCCC.CCCCCCC</t>
  </si>
  <si>
    <t>CCCC.O</t>
  </si>
  <si>
    <t>CCCC.CC1CCCCC1</t>
  </si>
  <si>
    <t>CCCC.CC1=CC=CC=C1</t>
  </si>
  <si>
    <t>CCCC.CCCCCCCC</t>
  </si>
  <si>
    <t>CCCC.CCCCCCCCC</t>
  </si>
  <si>
    <t>CCCC.CCCCCCCCCC</t>
  </si>
  <si>
    <t>CCCC.CCCCCCCCCCCC</t>
  </si>
  <si>
    <t>CCCC.CCCCCCCCCCCCCCCC(=O)OC</t>
  </si>
  <si>
    <t>C/C=C/C.C/C=C\C</t>
  </si>
  <si>
    <t>C/C=C/C.CC(=O)C</t>
  </si>
  <si>
    <t>C/C=C/C.CO</t>
  </si>
  <si>
    <t>C/C=C/C.CCO</t>
  </si>
  <si>
    <t>C(C(F)(F)Cl)(F)(F)Cl.C(F)(Cl)Cl</t>
  </si>
  <si>
    <t>C(C(F)(F)Cl)(F)(F)Cl.CCCCC</t>
  </si>
  <si>
    <t>C(C(F)(F)Cl)(F)(F)Cl.C(C(F)(Cl)Cl)(F)(F)Cl</t>
  </si>
  <si>
    <t>C(C(F)(F)Cl)(F)(F)Cl.CCCCCC</t>
  </si>
  <si>
    <t>C(C(F)(F)Cl)(F)(F)Cl.CCO</t>
  </si>
  <si>
    <t>C(C(F)(F)Cl)(F)(F)Cl.C1=CC=CC=C1</t>
  </si>
  <si>
    <t>C(C(F)(F)Cl)(F)(F)Cl.CCCCCCC</t>
  </si>
  <si>
    <t>C/C=C\C.CC(=O)C</t>
  </si>
  <si>
    <t>C/C=C\C.CO</t>
  </si>
  <si>
    <t>C/C=C\C.CCO</t>
  </si>
  <si>
    <t>C(F)(Cl)Cl.CO</t>
  </si>
  <si>
    <t>C(F)(Cl)Cl.CCO</t>
  </si>
  <si>
    <t>CC(C)(C)C.CCCCC</t>
  </si>
  <si>
    <t>C(C(F)F)C(F)(F)F.CCC(C)C</t>
  </si>
  <si>
    <t>C(C(F)F)C(F)(F)F.CCCCC</t>
  </si>
  <si>
    <t>C(C(F)(F)F)(Cl)Cl.O</t>
  </si>
  <si>
    <t>CCC(C)C.CCCCC</t>
  </si>
  <si>
    <t>CCC(C)C.CC(CC(F)(F)F)(F)F</t>
  </si>
  <si>
    <t>CCC(C)C.CC(=O)C</t>
  </si>
  <si>
    <t>CCC(C)C.CO</t>
  </si>
  <si>
    <t>CCC(C)C.CCCCCC</t>
  </si>
  <si>
    <t>CCC(C)C.CCO</t>
  </si>
  <si>
    <t>CCC(C)C.C1=CC=CC=C1</t>
  </si>
  <si>
    <t>CCC(C)C.C1CCCCC1</t>
  </si>
  <si>
    <t>CCC(C)C.CCCCCCC</t>
  </si>
  <si>
    <t>CCC(C)C.O</t>
  </si>
  <si>
    <t>CCC(C)C.CC1CCCCC1</t>
  </si>
  <si>
    <t>CCC(C)C.CC1=CC=CC=C1</t>
  </si>
  <si>
    <t>CCC(C)C.CCCCCCCC</t>
  </si>
  <si>
    <t>CCC(C)C.CCCCCCCCC</t>
  </si>
  <si>
    <t>CCC(C)C.CCCCCCCCCC</t>
  </si>
  <si>
    <t>CCC(C)C.CCCCCCCCCCCC</t>
  </si>
  <si>
    <t>C(C(C(F)(F)F)(F)F)(C(C(F)(F)F)(F)F)(F)F.CCCCC</t>
  </si>
  <si>
    <t>CC(F)(Cl)Cl.CCCCC</t>
  </si>
  <si>
    <t>COC(C(C(F)(F)F)(F)F)(F)F.CCCCC</t>
  </si>
  <si>
    <t>COC(C(C(F)(F)F)(F)F)(F)F.C(=O)(C(C(F)(F)F)(C(F)(F)F)F)C(C(F)(F)F)(F)F</t>
  </si>
  <si>
    <t>CCOCC.CC(=O)C</t>
  </si>
  <si>
    <t>CCOCC.CO</t>
  </si>
  <si>
    <t>CCOCC.CCCCCC</t>
  </si>
  <si>
    <t>CCOCC.CCO</t>
  </si>
  <si>
    <t>CCOCC.C1=CC=CC=C1</t>
  </si>
  <si>
    <t>CCOCC.O</t>
  </si>
  <si>
    <t>CCCCC.C(=O)(C(C(F)(F)F)(C(F)(F)F)F)C(C(F)(F)F)(F)F</t>
  </si>
  <si>
    <t>CCCCC.CC(=O)C</t>
  </si>
  <si>
    <t>CCCCC.CO</t>
  </si>
  <si>
    <t>CCCCC.CCCCCC</t>
  </si>
  <si>
    <t>CCCCC.CCO</t>
  </si>
  <si>
    <t>CCCCC.C1=CC=CC=C1</t>
  </si>
  <si>
    <t>CCCCC.C1CCCCC1</t>
  </si>
  <si>
    <t>CCCCC.CCCCCCC</t>
  </si>
  <si>
    <t>CCCCC.O</t>
  </si>
  <si>
    <t>CCCCC.CC1CCCCC1</t>
  </si>
  <si>
    <t>CCCCC.CC1=CC=CC=C1</t>
  </si>
  <si>
    <t>CCCCC.CCCCCCCC</t>
  </si>
  <si>
    <t>CCCCC.CCCCCCCCC</t>
  </si>
  <si>
    <t>CCCCC.CCCCCCCCCC</t>
  </si>
  <si>
    <t>CCCCC.CCCCCCCCCCCC</t>
  </si>
  <si>
    <t>CCCCC.CCCCCCCCCCCCCCCC</t>
  </si>
  <si>
    <t>C(C(F)(Cl)Cl)(F)(F)Cl.CC(=O)C</t>
  </si>
  <si>
    <t>C(C(F)(Cl)Cl)(F)(F)Cl.CCCCCC</t>
  </si>
  <si>
    <t>C(C(F)(Cl)Cl)(F)(F)Cl.CCO</t>
  </si>
  <si>
    <t>C(C(F)(Cl)Cl)(F)(F)Cl.C1=CC=CC=C1</t>
  </si>
  <si>
    <t>C(C(F)(Cl)Cl)(F)(F)Cl.CCCCCCC</t>
  </si>
  <si>
    <t>C1CCCC1.CCO</t>
  </si>
  <si>
    <t>C1CCCC1.C1=CC=CC=C1</t>
  </si>
  <si>
    <t>C1CCCC1.C1CCCCC1</t>
  </si>
  <si>
    <t>C1CCCC1.C[Si]1(O[Si](O[Si](O[Si](O1)(C)C)(C)C)(C)C)C</t>
  </si>
  <si>
    <t>CC(=O)C.CO</t>
  </si>
  <si>
    <t>CC(=O)C.CCCCCC</t>
  </si>
  <si>
    <t>CC(=O)C.CCO</t>
  </si>
  <si>
    <t>CC(=O)C.C1=CC=CC=C1</t>
  </si>
  <si>
    <t>CC(=O)C.C1CCCCC1</t>
  </si>
  <si>
    <t>CC(=O)C.COC(=O)OC</t>
  </si>
  <si>
    <t>CC(=O)C.CCCCCCC</t>
  </si>
  <si>
    <t>CC(=O)C.CC(C)CC(C)(C)C</t>
  </si>
  <si>
    <t>CC(=O)C.O</t>
  </si>
  <si>
    <t>CC(=O)C.CC1CCCCC1</t>
  </si>
  <si>
    <t>CC(=O)C.CC1=CC=CC=C1</t>
  </si>
  <si>
    <t>CC(=O)C.CCCCCCCC</t>
  </si>
  <si>
    <t>CC(=O)C.CC1=CC=C(C=C1)C</t>
  </si>
  <si>
    <t>CC(=O)C.CCCCCCCCC</t>
  </si>
  <si>
    <t>CC(=O)C.CCCCCCCCCC</t>
  </si>
  <si>
    <t>CC(=O)C.CCCCCCCCCCC</t>
  </si>
  <si>
    <t>CC(=O)C.C(CO)O</t>
  </si>
  <si>
    <t>CC(=O)C.CCCCCCCCCCCC</t>
  </si>
  <si>
    <t>CCCC(C)C.CO</t>
  </si>
  <si>
    <t>CCCC(C)C.CCCCCC</t>
  </si>
  <si>
    <t>CCCC(C)C.CCO</t>
  </si>
  <si>
    <t>CCCC(C)C.C1=CC=CC=C1</t>
  </si>
  <si>
    <t>CCCC(C)C.CCCCCCC</t>
  </si>
  <si>
    <t>CO.CCCCCC</t>
  </si>
  <si>
    <t>CO.CCO</t>
  </si>
  <si>
    <t>CO.C1=CC=CC=C1</t>
  </si>
  <si>
    <t>CO.C1CCCCC1</t>
  </si>
  <si>
    <t>CO.COC(=O)OC</t>
  </si>
  <si>
    <t>CO.CCCCCCC</t>
  </si>
  <si>
    <t>CO.O</t>
  </si>
  <si>
    <t>CO.C[Si](C)(C)O[Si](C)(C)C</t>
  </si>
  <si>
    <t>CO.CC1CCCCC1</t>
  </si>
  <si>
    <t>CO.CC1=CC=CC=C1</t>
  </si>
  <si>
    <t>CO.CCCCCCCC</t>
  </si>
  <si>
    <t>CO.CCC1=CC=CC=C1</t>
  </si>
  <si>
    <t>CO.CC1=CC(=CC=C1)C</t>
  </si>
  <si>
    <t>CO.CCCCCCCCC</t>
  </si>
  <si>
    <t>CO.CCCCCCCCCC</t>
  </si>
  <si>
    <t>CO.CCCCCCCCCCC</t>
  </si>
  <si>
    <t>CO.C(CO)O</t>
  </si>
  <si>
    <t>CO.CCCCCCCCCCCC</t>
  </si>
  <si>
    <t>CCCCCC.CCO</t>
  </si>
  <si>
    <t>CCCCCC.C1=CC=CC=C1</t>
  </si>
  <si>
    <t>CCCCCC.C1CCCCC1</t>
  </si>
  <si>
    <t>CCCCCC.COC(=O)OC</t>
  </si>
  <si>
    <t>CCCCCC.CCCCCCC</t>
  </si>
  <si>
    <t>CCCCCC.CC(C)CC(C)(C)C</t>
  </si>
  <si>
    <t>CCCCCC.O</t>
  </si>
  <si>
    <t>CCCCCC.C[Si](C)(C)O[Si](C)(C)C</t>
  </si>
  <si>
    <t>CCCCCC.CC1CCCCC1</t>
  </si>
  <si>
    <t>CCCCCC.CC1=CC=CC=C1</t>
  </si>
  <si>
    <t>CCCCCC.CCCCCCCC</t>
  </si>
  <si>
    <t>CCCCCC.CCC1=CC=CC=C1</t>
  </si>
  <si>
    <t>CCCCCC.CC1=CC=C(C=C1)C</t>
  </si>
  <si>
    <t>CCCCCC.CC1=CC(=CC=C1)C</t>
  </si>
  <si>
    <t>CCCCCC.CC1=CC=CC=C1C</t>
  </si>
  <si>
    <t>CCCCCC.CCCCCCCCC</t>
  </si>
  <si>
    <t>CCCCCC.CCCCCCCCCC</t>
  </si>
  <si>
    <t>CCCCCC.CCCCCCCCCCCC</t>
  </si>
  <si>
    <t>CCO.C1=CC=CC=C1</t>
  </si>
  <si>
    <t>CCO.C1CCCCC1</t>
  </si>
  <si>
    <t>CCO.COC(=O)OC</t>
  </si>
  <si>
    <t>CCO.CCCCCCC</t>
  </si>
  <si>
    <t>CCO.CC(C)CC(C)(C)C</t>
  </si>
  <si>
    <t>CCO.O</t>
  </si>
  <si>
    <t>CCO.C[Si](C)(C)O[Si](C)(C)C</t>
  </si>
  <si>
    <t>CCO.CC1CCCCC1</t>
  </si>
  <si>
    <t>CCO.CC1=CC=CC=C1</t>
  </si>
  <si>
    <t>CCO.CCCCCCCC</t>
  </si>
  <si>
    <t>CCO.CCC1=CC=CC=C1</t>
  </si>
  <si>
    <t>CCO.CC1=CC=C(C=C1)C</t>
  </si>
  <si>
    <t>CCO.CC1=CC=CC=C1C</t>
  </si>
  <si>
    <t>CCO.CCCCCCCCC</t>
  </si>
  <si>
    <t>CCO.CCCCCCCCCC</t>
  </si>
  <si>
    <t>CCO.C(CO)O</t>
  </si>
  <si>
    <t>C1=CC=CC=C1.C1CCCCC1</t>
  </si>
  <si>
    <t>C1=CC=CC=C1.COC(=O)OC</t>
  </si>
  <si>
    <t>C1=CC=CC=C1.CCCCCCC</t>
  </si>
  <si>
    <t>C1=CC=CC=C1.CC(C)CC(C)(C)C</t>
  </si>
  <si>
    <t>C1=CC=CC=C1.CC1CCCCC1</t>
  </si>
  <si>
    <t>C1=CC=CC=C1.CC1=CC=CC=C1</t>
  </si>
  <si>
    <t>C1=CC=CC=C1.CCCCCCCC</t>
  </si>
  <si>
    <t>C1=CC=CC=C1.CCC1=CC=CC=C1</t>
  </si>
  <si>
    <t>C1=CC=CC=C1.CC1=CC=C(C=C1)C</t>
  </si>
  <si>
    <t>C1=CC=CC=C1.CC1=CC(=CC=C1)C</t>
  </si>
  <si>
    <t>C1=CC=CC=C1.CC1=CC=CC=C1C</t>
  </si>
  <si>
    <t>C1=CC=CC=C1.CCCCCCCCC</t>
  </si>
  <si>
    <t>C1=CC=CC=C1.CCCCCCCCCC</t>
  </si>
  <si>
    <t>C1=CC=CC=C1.C[Si]1(O[Si](O[Si](O[Si](O1)(C)C)(C)C)(C)C)C</t>
  </si>
  <si>
    <t>C1=CC=CC=C1.CCCCCCCCCCCC</t>
  </si>
  <si>
    <t>C1CCCCC1.COC(=O)OC</t>
  </si>
  <si>
    <t>C1CCCCC1.CCCCCCC</t>
  </si>
  <si>
    <t>C1CCCCC1.CC(C)CC(C)(C)C</t>
  </si>
  <si>
    <t>C1CCCCC1.CC1CCCCC1</t>
  </si>
  <si>
    <t>C1CCCCC1.CC1=CC=CC=C1</t>
  </si>
  <si>
    <t>C1CCCCC1.CCCCCCCC</t>
  </si>
  <si>
    <t>C1CCCCC1.CCC1=CC=CC=C1</t>
  </si>
  <si>
    <t>C1CCCCC1.CC1=CC=C(C=C1)C</t>
  </si>
  <si>
    <t>C1CCCCC1.CC1=CC(=CC=C1)C</t>
  </si>
  <si>
    <t>C1CCCCC1.CC1=CC=CC=C1C</t>
  </si>
  <si>
    <t>C1CCCCC1.CCCCCCCCC</t>
  </si>
  <si>
    <t>C1CCCCC1.CCCCCCCCCC</t>
  </si>
  <si>
    <t>C1CCCCC1.CCCCCCCCCCC</t>
  </si>
  <si>
    <t>C1CCCCC1.CCCCCCCCCCCC</t>
  </si>
  <si>
    <t>COC(=O)OC.CCCCCCC</t>
  </si>
  <si>
    <t>COC(=O)OC.O</t>
  </si>
  <si>
    <t>COC(=O)OC.CC1=CC=CC=C1</t>
  </si>
  <si>
    <t>COC(=O)OC.CCCCCCCC</t>
  </si>
  <si>
    <t>COC(=O)OC.CCCCCCCCC</t>
  </si>
  <si>
    <t>COC(=O)OC.CCCCCCCCCC</t>
  </si>
  <si>
    <t>COC(=O)OC.C(CO)O</t>
  </si>
  <si>
    <t>CCCCCCC.O</t>
  </si>
  <si>
    <t>CCCCCCC.CC1CCCCC1</t>
  </si>
  <si>
    <t>CCCCCCC.CC1=CC=CC=C1</t>
  </si>
  <si>
    <t>CCCCCCC.CCCCCCCC</t>
  </si>
  <si>
    <t>CCCCCCC.CCC1=CC=CC=C1</t>
  </si>
  <si>
    <t>CCCCCCC.CC1=CC=C(C=C1)C</t>
  </si>
  <si>
    <t>CCCCCCC.CC1=CC(=CC=C1)C</t>
  </si>
  <si>
    <t>CCCCCCC.CC1=CC=CC=C1C</t>
  </si>
  <si>
    <t>CCCCCCC.CCCCCCCCC</t>
  </si>
  <si>
    <t>CCCCCCC.CCCCCCCCCC</t>
  </si>
  <si>
    <t>CCCCCCC.CCCCCCCCCCCC</t>
  </si>
  <si>
    <t>CC(C)CC(C)(C)C.CC1=CC=CC=C1</t>
  </si>
  <si>
    <t>CC(C)CC(C)(C)C.CCCCCCCC</t>
  </si>
  <si>
    <t>CC(C)CC(C)(C)C.CCC1=CC=CC=C1</t>
  </si>
  <si>
    <t>CC(C)CC(C)(C)C.CC1=CC=C(C=C1)C</t>
  </si>
  <si>
    <t>CC(C)CC(C)(C)C.CC1=CC(=CC=C1)C</t>
  </si>
  <si>
    <t>CC(C)CC(C)(C)C.CC1=CC=CC=C1C</t>
  </si>
  <si>
    <t>O.[2H]O[2H]</t>
  </si>
  <si>
    <t>O.CCCCCCCC</t>
  </si>
  <si>
    <t>O.CCCCCCCCC</t>
  </si>
  <si>
    <t>O.CCCCCCCCCC</t>
  </si>
  <si>
    <t>O.C(CO)O</t>
  </si>
  <si>
    <t>O.CCCCCCCCCCCC</t>
  </si>
  <si>
    <t>C[Si]1(O[Si](O[Si](O[Si](O1)(C)C)(C)C)(C)C)C.CC1=CC=CC=C1</t>
  </si>
  <si>
    <t>CC1CCCCC1.CC1=CC=CC=C1</t>
  </si>
  <si>
    <t>CC1CCCCC1.CCCCCCCC</t>
  </si>
  <si>
    <t>CC1CCCCC1.CCC1=CC=CC=C1</t>
  </si>
  <si>
    <t>CC1CCCCC1.CC1=CC=C(C=C1)C</t>
  </si>
  <si>
    <t>CC1CCCCC1.CC1=CC=CC=C1C</t>
  </si>
  <si>
    <t>CC1CCCCC1.CCCCCCCCC</t>
  </si>
  <si>
    <t>CC1CCCCC1.CCCCCCCCCC</t>
  </si>
  <si>
    <t>CC1=CC=CC=C1.CCCCCCCC</t>
  </si>
  <si>
    <t>CC1=CC=CC=C1.CCC1=CC=CC=C1</t>
  </si>
  <si>
    <t>CC1=CC=CC=C1.CC1=CC=C(C=C1)C</t>
  </si>
  <si>
    <t>CC1=CC=CC=C1.CC1=CC(=CC=C1)C</t>
  </si>
  <si>
    <t>CC1=CC=CC=C1.CC1=CC=CC=C1C</t>
  </si>
  <si>
    <t>CC1=CC=CC=C1.CCCCCCCCC</t>
  </si>
  <si>
    <t>CC1=CC=CC=C1.CCCCCCCCCC</t>
  </si>
  <si>
    <t>CC1=CC=CC=C1.CCCCCCCCCCCC</t>
  </si>
  <si>
    <t>CCCCCCCC.CCC1=CC=CC=C1</t>
  </si>
  <si>
    <t>CCCCCCCC.CC1=CC=C(C=C1)C</t>
  </si>
  <si>
    <t>CCCCCCCC.CC1=CC(=CC=C1)C</t>
  </si>
  <si>
    <t>CCCCCCCC.CC1=CC=CC=C1C</t>
  </si>
  <si>
    <t>CCCCCCCC.CCCCCCCCC</t>
  </si>
  <si>
    <t>CCCCCCCC.CCCCCCCCCC</t>
  </si>
  <si>
    <t>CCCCCCCC.CCCCCCCCCCCC</t>
  </si>
  <si>
    <t>CCC1=CC=CC=C1.CC1=CC=C(C=C1)C</t>
  </si>
  <si>
    <t>CCC1=CC=CC=C1.CC1=CC(=CC=C1)C</t>
  </si>
  <si>
    <t>CCC1=CC=CC=C1.CC1=CC=CC=C1C</t>
  </si>
  <si>
    <t>CCC1=CC=CC=C1.CCCCCCCCC</t>
  </si>
  <si>
    <t>CC1=CC=C(C=C1)C.CCCCCCCCC</t>
  </si>
  <si>
    <t>CC1=CC=C(C=C1)C.CCCCCCCCCC</t>
  </si>
  <si>
    <t>CC1=CC=C(C=C1)C.CCCCCCCCCCC</t>
  </si>
  <si>
    <t>CC1=CC(=CC=C1)C.CC1=CC=CC=C1C</t>
  </si>
  <si>
    <t>CC1=CC(=CC=C1)C.CCCCCCCCC</t>
  </si>
  <si>
    <t>CC1=CC(=CC=C1)C.CCCCCCCCCC</t>
  </si>
  <si>
    <t>CC1=CC(=CC=C1)C.CCCCCCCCCCC</t>
  </si>
  <si>
    <t>CC1=CC=CC=C1C.CCCCCCCCC</t>
  </si>
  <si>
    <t>CC1=CC=CC=C1C.CCCCCCCCCC</t>
  </si>
  <si>
    <t>CC1=CC=CC=C1C.CCCCCCCCCCC</t>
  </si>
  <si>
    <t>CCCCCCCCC.CCCCCCCCCC</t>
  </si>
  <si>
    <t>CCCCCCCCC.CCCCCCCCCCCC</t>
  </si>
  <si>
    <t>C[Si](C)(C)O[Si](C)(C)O[Si](C)(C)C.C[Si]1(O[Si](O[Si](O[Si](O1)(C)C)(C)C)(C)C)C</t>
  </si>
  <si>
    <t>CCCCCCCCCC.CCCCCCCCCCCC</t>
  </si>
  <si>
    <t>CCCCCCCCCCCCCCCC(=O)OC.CCCCCCCC/C=C\CCCCCCCC(=O)OC</t>
  </si>
  <si>
    <t>CCCCCCCCCCCCCCCC(=O)OC.CCCCC/C=C\C/C=C\CCCCCCCC(=O)OC</t>
  </si>
  <si>
    <t>CCCCCCCCCCCCCCCC(=O)OC.CC/C=C\C/C=C\C/C=C\CCCCCCCC(=O)OC</t>
  </si>
  <si>
    <t>CCCCCCCCCCCCCCCC(=O)OC.CCCCCCCCCCCCCCCCCC(=O)OC</t>
  </si>
  <si>
    <t>CCCCCCCC/C=C\CCCCCCCC(=O)OC.CCCCC/C=C\C/C=C\CCCCCCCC(=O)OC</t>
  </si>
  <si>
    <t>CCCCCCCC/C=C\CCCCCCCC(=O)OC.CC/C=C\C/C=C\C/C=C\CCCCCCCC(=O)OC</t>
  </si>
  <si>
    <t>CCCCCCCC/C=C\CCCCCCCC(=O)OC.CCCCCCCCCCCCCCCCCC(=O)OC</t>
  </si>
  <si>
    <t>CCCCC/C=C\C/C=C\CCCCCCCC(=O)OC.CC/C=C\C/C=C\C/C=C\CCCCCCCC(=O)OC</t>
  </si>
  <si>
    <t>CCCCC/C=C\C/C=C\CCCCCCCC(=O)OC.CCCCCCCCCCCCCCCCCC(=O)OC</t>
  </si>
  <si>
    <t>CC/C=C\C/C=C\C/C=C\CCCCCCCC(=O)OC.CCCCCCCCCCCCCCCCCC(=O)OC</t>
  </si>
  <si>
    <t>O.CC(CO)O</t>
  </si>
  <si>
    <t>N.NN</t>
  </si>
  <si>
    <t>N.CNN</t>
  </si>
  <si>
    <t>NN.CNN</t>
  </si>
  <si>
    <t>Model</t>
  </si>
  <si>
    <t>Argone</t>
  </si>
  <si>
    <t>Sample#1 good</t>
  </si>
  <si>
    <t>Pred</t>
  </si>
  <si>
    <t>Argon/Neopentane</t>
  </si>
  <si>
    <t>Sample#1 bad</t>
  </si>
  <si>
    <t>Argon/Ethanol</t>
  </si>
  <si>
    <t>Ethanol</t>
  </si>
  <si>
    <t>Pred_with_1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</si>
</sst>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>
    <font>
      <sz val="11"/>
      <color theme="1"/>
      <name val="Aptos Narrow"/>
      <family val="2"/>
      <charset val="128"/>
      <scheme val="minor"/>
    </font>
    <font>
      <sz val="11"/>
      <color theme="1"/>
      <name val="HGS創英角ｺﾞｼｯｸUB"/>
      <family val="3"/>
      <charset val="128"/>
    </font>
    <font>
      <sz val="6"/>
      <name val="Aptos Narrow"/>
      <family val="2"/>
      <charset val="128"/>
      <scheme val="minor"/>
    </font>
    <font>
      <b/>
      <sz val="12"/>
      <color theme="1"/>
      <name val="Aptos Narrow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1" fillId="0" borderId="0" xfId="0" applyFont="1">
      <alignment vertical="center"/>
    </xf>
    <xf numFmtId="164" fontId="1" fillId="0" borderId="0" xfId="0" applyNumberFormat="1" applyFont="1">
      <alignment vertical="center"/>
    </xf>
    <xf numFmtId="2" fontId="1" fillId="0" borderId="0" xfId="0" applyNumberFormat="1" applyFon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49" fontId="0" fillId="5" borderId="0" xfId="0" applyNumberFormat="1" applyFill="1">
      <alignment vertical="center"/>
    </xf>
    <xf numFmtId="49" fontId="0" fillId="0" borderId="0" xfId="0" applyNumberFormat="1">
      <alignment vertical="center"/>
    </xf>
    <xf numFmtId="0" fontId="0" fillId="6" borderId="0" xfId="0" applyFill="1">
      <alignment vertical="center"/>
    </xf>
    <xf numFmtId="0" fontId="0" fillId="0" borderId="0" xfId="0" applyAlignment="1"/>
    <xf numFmtId="0" fontId="3" fillId="0" borderId="0" xfId="0" applyFont="1" applyAlignment="1"/>
    <xf numFmtId="0" fontId="3" fillId="0" borderId="0" xfId="0" applyFo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title>
    <c:autoTitleDeleted val="0"/>
    <c:plotArea>
      <c:layout>
        <c:manualLayout>
          <c:layoutTarget val="inner"/>
          <c:xMode val="edge"/>
          <c:yMode val="edge"/>
          <c:x val="9.7027023482142469E-2"/>
          <c:y val="0.19504170528266915"/>
          <c:w val="0.85855320972163318"/>
          <c:h val="0.72099968620697208"/>
        </c:manualLayout>
      </c:layout>
      <c:lineChart>
        <c:grouping val="standard"/>
        <c:varyColors val="0"/>
        <c:ser>
          <c:idx val="0"/>
          <c:order val="0"/>
          <c:tx>
            <c:strRef>
              <c:f>calculation!$H$5</c:f>
              <c:strCache>
                <c:ptCount val="1"/>
                <c:pt idx="0">
                  <c:v>Tred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calculation!$F$6:$F$16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calculation!$H$6:$H$16</c:f>
              <c:numCache>
                <c:formatCode>0.00</c:formatCode>
                <c:ptCount val="11"/>
                <c:pt idx="0">
                  <c:v>433.74</c:v>
                </c:pt>
                <c:pt idx="1">
                  <c:v>413.55527642637418</c:v>
                </c:pt>
                <c:pt idx="2">
                  <c:v>391.56598031355412</c:v>
                </c:pt>
                <c:pt idx="3">
                  <c:v>367.77211166153967</c:v>
                </c:pt>
                <c:pt idx="4">
                  <c:v>342.1736704703311</c:v>
                </c:pt>
                <c:pt idx="5">
                  <c:v>314.7706567399282</c:v>
                </c:pt>
                <c:pt idx="6">
                  <c:v>285.56307047033113</c:v>
                </c:pt>
                <c:pt idx="7">
                  <c:v>254.55091166153971</c:v>
                </c:pt>
                <c:pt idx="8">
                  <c:v>221.73418031355405</c:v>
                </c:pt>
                <c:pt idx="9">
                  <c:v>187.11287642637416</c:v>
                </c:pt>
                <c:pt idx="10">
                  <c:v>150.68700000000001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DA-4D0F-B59A-006DDE2128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5938480"/>
        <c:axId val="1175939440"/>
      </c:lineChart>
      <c:catAx>
        <c:axId val="1175938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1175939440"/>
        <c:crosses val="autoZero"/>
        <c:auto val="1"/>
        <c:lblAlgn val="ctr"/>
        <c:lblOffset val="100"/>
        <c:noMultiLvlLbl val="0"/>
      </c:catAx>
      <c:valAx>
        <c:axId val="1175939440"/>
        <c:scaling>
          <c:orientation val="minMax"/>
          <c:max val="1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1175938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calculation!$I$5</c:f>
              <c:strCache>
                <c:ptCount val="1"/>
                <c:pt idx="0">
                  <c:v>Dred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calculation!$F$6:$F$16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calculation!$I$6:$I$16</c:f>
              <c:numCache>
                <c:formatCode>0.00</c:formatCode>
                <c:ptCount val="11"/>
                <c:pt idx="0">
                  <c:v>3.27</c:v>
                </c:pt>
                <c:pt idx="1">
                  <c:v>3.5975601024519559</c:v>
                </c:pt>
                <c:pt idx="2">
                  <c:v>3.9813479220372199</c:v>
                </c:pt>
                <c:pt idx="3">
                  <c:v>4.4360546052338483</c:v>
                </c:pt>
                <c:pt idx="4">
                  <c:v>4.9818377875662945</c:v>
                </c:pt>
                <c:pt idx="5">
                  <c:v>5.6471010017539722</c:v>
                </c:pt>
                <c:pt idx="6">
                  <c:v>6.4731555708244031</c:v>
                </c:pt>
                <c:pt idx="7">
                  <c:v>7.5224403120352088</c:v>
                </c:pt>
                <c:pt idx="8">
                  <c:v>8.8939260355302832</c:v>
                </c:pt>
                <c:pt idx="9">
                  <c:v>10.754276981690499</c:v>
                </c:pt>
                <c:pt idx="10">
                  <c:v>13.407429649999999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40-4C41-8278-ABB57F175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5938960"/>
        <c:axId val="1175940880"/>
      </c:lineChart>
      <c:catAx>
        <c:axId val="1175938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1175940880"/>
        <c:crosses val="autoZero"/>
        <c:auto val="1"/>
        <c:lblAlgn val="ctr"/>
        <c:lblOffset val="100"/>
        <c:noMultiLvlLbl val="0"/>
      </c:catAx>
      <c:valAx>
        <c:axId val="11759408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117593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Argon/Neopentane : T 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calculation!$U$7</c:f>
              <c:strCache>
                <c:ptCount val="1"/>
                <c:pt idx="0">
                  <c:v>TRUE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calculation!$T$8:$T$18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calculation!$U$8:$U$18</c:f>
              <c:numCache>
                <c:formatCode>General</c:formatCode>
                <c:ptCount val="11"/>
                <c:pt idx="0">
                  <c:v>433.74</c:v>
                </c:pt>
                <c:pt idx="1">
                  <c:v>412.07330427029757</c:v>
                </c:pt>
                <c:pt idx="2">
                  <c:v>388.92736128043674</c:v>
                </c:pt>
                <c:pt idx="3">
                  <c:v>364.30367212963063</c:v>
                </c:pt>
                <c:pt idx="4">
                  <c:v>338.20373768893859</c:v>
                </c:pt>
                <c:pt idx="5">
                  <c:v>310.62905860130888</c:v>
                </c:pt>
                <c:pt idx="6">
                  <c:v>281.58113528162272</c:v>
                </c:pt>
                <c:pt idx="7">
                  <c:v>251.06146791673692</c:v>
                </c:pt>
                <c:pt idx="8">
                  <c:v>219.07155646552766</c:v>
                </c:pt>
                <c:pt idx="9">
                  <c:v>185.61290065893385</c:v>
                </c:pt>
                <c:pt idx="10">
                  <c:v>150.68700000000001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25-8940-8235-5CCC74E961AC}"/>
            </c:ext>
          </c:extLst>
        </c:ser>
        <c:ser>
          <c:idx val="1"/>
          <c:order val="1"/>
          <c:tx>
            <c:strRef>
              <c:f>calculation!$V$7</c:f>
              <c:strCache>
                <c:ptCount val="1"/>
                <c:pt idx="0">
                  <c:v>Pred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calculation!$T$8:$T$18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calculation!$V$8:$V$18</c:f>
              <c:numCache>
                <c:formatCode>0.00</c:formatCode>
                <c:ptCount val="11"/>
                <c:pt idx="0">
                  <c:v>433.74</c:v>
                </c:pt>
                <c:pt idx="1">
                  <c:v>414.42493066970735</c:v>
                </c:pt>
                <c:pt idx="2">
                  <c:v>392.71694635255324</c:v>
                </c:pt>
                <c:pt idx="3">
                  <c:v>368.76793308694891</c:v>
                </c:pt>
                <c:pt idx="4">
                  <c:v>342.72760036332159</c:v>
                </c:pt>
                <c:pt idx="5">
                  <c:v>314.74351997272993</c:v>
                </c:pt>
                <c:pt idx="6">
                  <c:v>284.96116402636301</c:v>
                </c:pt>
                <c:pt idx="7">
                  <c:v>253.52394216649068</c:v>
                </c:pt>
                <c:pt idx="8">
                  <c:v>220.57323798885767</c:v>
                </c:pt>
                <c:pt idx="9">
                  <c:v>186.24844469594765</c:v>
                </c:pt>
                <c:pt idx="10">
                  <c:v>150.68700000000001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25-8940-8235-5CCC74E961AC}"/>
            </c:ext>
          </c:extLst>
        </c:ser>
        <c:ser>
          <c:idx val="2"/>
          <c:order val="2"/>
          <c:tx>
            <c:strRef>
              <c:f>calculation!$W$7</c:f>
              <c:strCache>
                <c:ptCount val="1"/>
                <c:pt idx="0">
                  <c:v>Pred_with_1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calculation!$T$8:$T$18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calculation!$W$8:$W$18</c:f>
              <c:numCache>
                <c:formatCode>0.00</c:formatCode>
                <c:ptCount val="11"/>
                <c:pt idx="0">
                  <c:v>433.74</c:v>
                </c:pt>
                <c:pt idx="1">
                  <c:v>413.55527642637418</c:v>
                </c:pt>
                <c:pt idx="2">
                  <c:v>391.56598031355412</c:v>
                </c:pt>
                <c:pt idx="3">
                  <c:v>367.77211166153967</c:v>
                </c:pt>
                <c:pt idx="4">
                  <c:v>342.1736704703311</c:v>
                </c:pt>
                <c:pt idx="5">
                  <c:v>314.7706567399282</c:v>
                </c:pt>
                <c:pt idx="6">
                  <c:v>285.56307047033113</c:v>
                </c:pt>
                <c:pt idx="7">
                  <c:v>254.55091166153971</c:v>
                </c:pt>
                <c:pt idx="8">
                  <c:v>221.73418031355405</c:v>
                </c:pt>
                <c:pt idx="9">
                  <c:v>187.11287642637416</c:v>
                </c:pt>
                <c:pt idx="10">
                  <c:v>150.68700000000001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25-8940-8235-5CCC74E96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4883663"/>
        <c:axId val="1014885375"/>
      </c:lineChart>
      <c:catAx>
        <c:axId val="1014883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1014885375"/>
        <c:crosses val="autoZero"/>
        <c:auto val="1"/>
        <c:lblAlgn val="ctr"/>
        <c:lblOffset val="100"/>
        <c:noMultiLvlLbl val="0"/>
      </c:catAx>
      <c:valAx>
        <c:axId val="1014885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1014883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Argon/Neopentane : D 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calculation!$Z$7</c:f>
              <c:strCache>
                <c:ptCount val="1"/>
                <c:pt idx="0">
                  <c:v>TRUE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calculation!$Y$8:$Y$18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calculation!$Z$8:$Z$18</c:f>
              <c:numCache>
                <c:formatCode>General</c:formatCode>
                <c:ptCount val="11"/>
                <c:pt idx="0">
                  <c:v>3.27</c:v>
                </c:pt>
                <c:pt idx="1">
                  <c:v>3.5975601024519559</c:v>
                </c:pt>
                <c:pt idx="2">
                  <c:v>3.9813479220372199</c:v>
                </c:pt>
                <c:pt idx="3">
                  <c:v>4.4360546052338483</c:v>
                </c:pt>
                <c:pt idx="4">
                  <c:v>4.9818377875662945</c:v>
                </c:pt>
                <c:pt idx="5">
                  <c:v>5.6471010017539722</c:v>
                </c:pt>
                <c:pt idx="6">
                  <c:v>6.4731555708244031</c:v>
                </c:pt>
                <c:pt idx="7">
                  <c:v>7.5224403120352088</c:v>
                </c:pt>
                <c:pt idx="8">
                  <c:v>8.8939260355302832</c:v>
                </c:pt>
                <c:pt idx="9">
                  <c:v>10.754276981690499</c:v>
                </c:pt>
                <c:pt idx="10">
                  <c:v>13.407429649999999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47-FD44-ADAE-1679B3D1890D}"/>
            </c:ext>
          </c:extLst>
        </c:ser>
        <c:ser>
          <c:idx val="1"/>
          <c:order val="1"/>
          <c:tx>
            <c:strRef>
              <c:f>calculation!$AA$7</c:f>
              <c:strCache>
                <c:ptCount val="1"/>
                <c:pt idx="0">
                  <c:v>Pred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calculation!$Y$8:$Y$18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calculation!$AA$8:$AA$18</c:f>
              <c:numCache>
                <c:formatCode>0.00</c:formatCode>
                <c:ptCount val="11"/>
                <c:pt idx="0">
                  <c:v>3.27</c:v>
                </c:pt>
                <c:pt idx="1">
                  <c:v>3.5613589940612553</c:v>
                </c:pt>
                <c:pt idx="2">
                  <c:v>3.9055287709746875</c:v>
                </c:pt>
                <c:pt idx="3">
                  <c:v>4.3171684881009975</c:v>
                </c:pt>
                <c:pt idx="4">
                  <c:v>4.8168317137161418</c:v>
                </c:pt>
                <c:pt idx="5">
                  <c:v>5.4342392293337083</c:v>
                </c:pt>
                <c:pt idx="6">
                  <c:v>6.2140007810403013</c:v>
                </c:pt>
                <c:pt idx="7">
                  <c:v>7.2262270127157278</c:v>
                </c:pt>
                <c:pt idx="8">
                  <c:v>8.5877154021200912</c:v>
                </c:pt>
                <c:pt idx="9">
                  <c:v>10.5084464391387</c:v>
                </c:pt>
                <c:pt idx="10">
                  <c:v>13.407429649999999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47-FD44-ADAE-1679B3D1890D}"/>
            </c:ext>
          </c:extLst>
        </c:ser>
        <c:ser>
          <c:idx val="2"/>
          <c:order val="2"/>
          <c:tx>
            <c:strRef>
              <c:f>calculation!$AB$7</c:f>
              <c:strCache>
                <c:ptCount val="1"/>
                <c:pt idx="0">
                  <c:v>Pred_with_1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calculation!$Y$8:$Y$18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calculation!$AB$8:$AB$18</c:f>
              <c:numCache>
                <c:formatCode>General</c:formatCode>
                <c:ptCount val="11"/>
                <c:pt idx="0">
                  <c:v>3.27</c:v>
                </c:pt>
                <c:pt idx="1">
                  <c:v>3.5975601024519559</c:v>
                </c:pt>
                <c:pt idx="2">
                  <c:v>3.9813479220372199</c:v>
                </c:pt>
                <c:pt idx="3">
                  <c:v>4.4360546052338483</c:v>
                </c:pt>
                <c:pt idx="4">
                  <c:v>4.9818377875662945</c:v>
                </c:pt>
                <c:pt idx="5">
                  <c:v>5.6471010017539722</c:v>
                </c:pt>
                <c:pt idx="6">
                  <c:v>6.4731555708244031</c:v>
                </c:pt>
                <c:pt idx="7">
                  <c:v>7.5224403120352088</c:v>
                </c:pt>
                <c:pt idx="8">
                  <c:v>8.8939260355302832</c:v>
                </c:pt>
                <c:pt idx="9">
                  <c:v>10.754276981690499</c:v>
                </c:pt>
                <c:pt idx="10">
                  <c:v>13.407429649999999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47-FD44-ADAE-1679B3D18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4909007"/>
        <c:axId val="1014811391"/>
      </c:lineChart>
      <c:catAx>
        <c:axId val="1014909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1014811391"/>
        <c:crosses val="autoZero"/>
        <c:auto val="1"/>
        <c:lblAlgn val="ctr"/>
        <c:lblOffset val="100"/>
        <c:noMultiLvlLbl val="0"/>
      </c:catAx>
      <c:valAx>
        <c:axId val="101481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1014909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</a:rPr>
              <a:t>Argon/Ethanol</a:t>
            </a: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 : T 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calculation!$U$25</c:f>
              <c:strCache>
                <c:ptCount val="1"/>
                <c:pt idx="0">
                  <c:v>TRUE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calculation!$T$26:$T$36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calculation!$U$26:$U$36</c:f>
              <c:numCache>
                <c:formatCode>General</c:formatCode>
                <c:ptCount val="11"/>
                <c:pt idx="0">
                  <c:v>514.71</c:v>
                </c:pt>
                <c:pt idx="1">
                  <c:v>493.21489614292864</c:v>
                </c:pt>
                <c:pt idx="2">
                  <c:v>468.40708203187319</c:v>
                </c:pt>
                <c:pt idx="3">
                  <c:v>440.28655766683335</c:v>
                </c:pt>
                <c:pt idx="4">
                  <c:v>408.85332304780962</c:v>
                </c:pt>
                <c:pt idx="5">
                  <c:v>374.10737817480168</c:v>
                </c:pt>
                <c:pt idx="6">
                  <c:v>336.04872304780963</c:v>
                </c:pt>
                <c:pt idx="7">
                  <c:v>294.67735766683347</c:v>
                </c:pt>
                <c:pt idx="8">
                  <c:v>249.99328203187306</c:v>
                </c:pt>
                <c:pt idx="9">
                  <c:v>201.99649614292861</c:v>
                </c:pt>
                <c:pt idx="10">
                  <c:v>150.68700000000001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E8-074E-8888-2E1657C69F96}"/>
            </c:ext>
          </c:extLst>
        </c:ser>
        <c:ser>
          <c:idx val="1"/>
          <c:order val="1"/>
          <c:tx>
            <c:strRef>
              <c:f>calculation!$V$25</c:f>
              <c:strCache>
                <c:ptCount val="1"/>
                <c:pt idx="0">
                  <c:v>Pred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calculation!$T$26:$T$36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calculation!$V$26:$V$36</c:f>
              <c:numCache>
                <c:formatCode>General</c:formatCode>
                <c:ptCount val="11"/>
                <c:pt idx="0">
                  <c:v>514.71</c:v>
                </c:pt>
                <c:pt idx="1">
                  <c:v>469.1715892991063</c:v>
                </c:pt>
                <c:pt idx="2">
                  <c:v>425.27000015893287</c:v>
                </c:pt>
                <c:pt idx="3">
                  <c:v>383.15725093114031</c:v>
                </c:pt>
                <c:pt idx="4">
                  <c:v>342.98273129300617</c:v>
                </c:pt>
                <c:pt idx="5">
                  <c:v>304.89325882107221</c:v>
                </c:pt>
                <c:pt idx="6">
                  <c:v>269.03313410998015</c:v>
                </c:pt>
                <c:pt idx="7">
                  <c:v>235.54419447995207</c:v>
                </c:pt>
                <c:pt idx="8">
                  <c:v>204.56586631489986</c:v>
                </c:pt>
                <c:pt idx="9">
                  <c:v>176.23521607172466</c:v>
                </c:pt>
                <c:pt idx="10">
                  <c:v>150.68700000000001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E8-074E-8888-2E1657C69F96}"/>
            </c:ext>
          </c:extLst>
        </c:ser>
        <c:ser>
          <c:idx val="2"/>
          <c:order val="2"/>
          <c:tx>
            <c:strRef>
              <c:f>calculation!$W$25</c:f>
              <c:strCache>
                <c:ptCount val="1"/>
                <c:pt idx="0">
                  <c:v>Pred_with_1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calculation!$T$26:$T$36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calculation!$W$26:$W$36</c:f>
              <c:numCache>
                <c:formatCode>General</c:formatCode>
                <c:ptCount val="11"/>
                <c:pt idx="0">
                  <c:v>514.71</c:v>
                </c:pt>
                <c:pt idx="1">
                  <c:v>468.30936806919618</c:v>
                </c:pt>
                <c:pt idx="2">
                  <c:v>424.13058767857109</c:v>
                </c:pt>
                <c:pt idx="3">
                  <c:v>382.17365882812436</c:v>
                </c:pt>
                <c:pt idx="4">
                  <c:v>342.43858151785639</c:v>
                </c:pt>
                <c:pt idx="5">
                  <c:v>304.92535574776707</c:v>
                </c:pt>
                <c:pt idx="6">
                  <c:v>269.63398151785645</c:v>
                </c:pt>
                <c:pt idx="7">
                  <c:v>236.5644588281244</c:v>
                </c:pt>
                <c:pt idx="8">
                  <c:v>205.71678767857094</c:v>
                </c:pt>
                <c:pt idx="9">
                  <c:v>177.09096806919615</c:v>
                </c:pt>
                <c:pt idx="10">
                  <c:v>150.68700000000001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E8-074E-8888-2E1657C69F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0316320"/>
        <c:axId val="350253104"/>
      </c:lineChart>
      <c:catAx>
        <c:axId val="350316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350253104"/>
        <c:crosses val="autoZero"/>
        <c:auto val="1"/>
        <c:lblAlgn val="ctr"/>
        <c:lblOffset val="100"/>
        <c:noMultiLvlLbl val="0"/>
      </c:catAx>
      <c:valAx>
        <c:axId val="35025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350316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</a:rPr>
              <a:t>Argon/Ethanol</a:t>
            </a: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 : D 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calculation!$Z$25</c:f>
              <c:strCache>
                <c:ptCount val="1"/>
                <c:pt idx="0">
                  <c:v>TRUE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calculation!$Y$26:$Y$36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calculation!$Z$26:$Z$36</c:f>
              <c:numCache>
                <c:formatCode>General</c:formatCode>
                <c:ptCount val="11"/>
                <c:pt idx="0">
                  <c:v>5.93</c:v>
                </c:pt>
                <c:pt idx="1">
                  <c:v>6.3254180418598258</c:v>
                </c:pt>
                <c:pt idx="2">
                  <c:v>6.7657527315130821</c:v>
                </c:pt>
                <c:pt idx="3">
                  <c:v>7.258645349967197</c:v>
                </c:pt>
                <c:pt idx="4">
                  <c:v>7.8135417667401699</c:v>
                </c:pt>
                <c:pt idx="5">
                  <c:v>8.4422554888286765</c:v>
                </c:pt>
                <c:pt idx="6">
                  <c:v>9.1597551866950422</c:v>
                </c:pt>
                <c:pt idx="7">
                  <c:v>9.9852884874251711</c:v>
                </c:pt>
                <c:pt idx="8">
                  <c:v>10.944022314599172</c:v>
                </c:pt>
                <c:pt idx="9">
                  <c:v>12.0694996629011</c:v>
                </c:pt>
                <c:pt idx="10">
                  <c:v>13.407429649999999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31-144B-91CA-724BB0B7C1C9}"/>
            </c:ext>
          </c:extLst>
        </c:ser>
        <c:ser>
          <c:idx val="1"/>
          <c:order val="1"/>
          <c:tx>
            <c:strRef>
              <c:f>calculation!$AA$25</c:f>
              <c:strCache>
                <c:ptCount val="1"/>
                <c:pt idx="0">
                  <c:v>Pred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calculation!$Y$26:$Y$36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calculation!$AA$26:$AA$36</c:f>
              <c:numCache>
                <c:formatCode>General</c:formatCode>
                <c:ptCount val="11"/>
                <c:pt idx="0">
                  <c:v>5.93</c:v>
                </c:pt>
                <c:pt idx="1">
                  <c:v>6.3510343883509925</c:v>
                </c:pt>
                <c:pt idx="2">
                  <c:v>6.8091384627920872</c:v>
                </c:pt>
                <c:pt idx="3">
                  <c:v>7.3107318001861943</c:v>
                </c:pt>
                <c:pt idx="4">
                  <c:v>7.8644049592487431</c:v>
                </c:pt>
                <c:pt idx="5">
                  <c:v>8.4818248910742717</c:v>
                </c:pt>
                <c:pt idx="6">
                  <c:v>9.1790934137012226</c:v>
                </c:pt>
                <c:pt idx="7">
                  <c:v>9.978853724463562</c:v>
                </c:pt>
                <c:pt idx="8">
                  <c:v>10.913686242550533</c:v>
                </c:pt>
                <c:pt idx="9">
                  <c:v>12.031838400422902</c:v>
                </c:pt>
                <c:pt idx="10">
                  <c:v>13.407429649999999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31-144B-91CA-724BB0B7C1C9}"/>
            </c:ext>
          </c:extLst>
        </c:ser>
        <c:ser>
          <c:idx val="2"/>
          <c:order val="2"/>
          <c:tx>
            <c:strRef>
              <c:f>calculation!$AB$25</c:f>
              <c:strCache>
                <c:ptCount val="1"/>
                <c:pt idx="0">
                  <c:v>Pred_with_1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calculation!$Y$26:$Y$36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calculation!$AB$26:$AB$36</c:f>
              <c:numCache>
                <c:formatCode>0.00</c:formatCode>
                <c:ptCount val="11"/>
                <c:pt idx="0">
                  <c:v>5.93</c:v>
                </c:pt>
                <c:pt idx="1">
                  <c:v>6.3254180418598258</c:v>
                </c:pt>
                <c:pt idx="2">
                  <c:v>6.7657527315130821</c:v>
                </c:pt>
                <c:pt idx="3">
                  <c:v>7.258645349967197</c:v>
                </c:pt>
                <c:pt idx="4">
                  <c:v>7.8135417667401699</c:v>
                </c:pt>
                <c:pt idx="5">
                  <c:v>8.4422554888286765</c:v>
                </c:pt>
                <c:pt idx="6">
                  <c:v>9.1597551866950422</c:v>
                </c:pt>
                <c:pt idx="7">
                  <c:v>9.9852884874251711</c:v>
                </c:pt>
                <c:pt idx="8">
                  <c:v>10.944022314599172</c:v>
                </c:pt>
                <c:pt idx="9">
                  <c:v>12.0694996629011</c:v>
                </c:pt>
                <c:pt idx="10">
                  <c:v>13.407429649999999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31-144B-91CA-724BB0B7C1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4128271"/>
        <c:axId val="1984129983"/>
      </c:lineChart>
      <c:catAx>
        <c:axId val="19841282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1984129983"/>
        <c:crosses val="autoZero"/>
        <c:auto val="1"/>
        <c:lblAlgn val="ctr"/>
        <c:lblOffset val="100"/>
        <c:noMultiLvlLbl val="0"/>
      </c:catAx>
      <c:valAx>
        <c:axId val="1984129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19841282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title>
    <c:autoTitleDeleted val="0"/>
    <c:plotArea>
      <c:layout>
        <c:manualLayout>
          <c:layoutTarget val="inner"/>
          <c:xMode val="edge"/>
          <c:yMode val="edge"/>
          <c:x val="9.7027023482142469E-2"/>
          <c:y val="0.19504170528266915"/>
          <c:w val="0.85855320972163318"/>
          <c:h val="0.72099968620697208"/>
        </c:manualLayout>
      </c:layout>
      <c:lineChart>
        <c:grouping val="standard"/>
        <c:varyColors val="0"/>
        <c:ser>
          <c:idx val="0"/>
          <c:order val="0"/>
          <c:tx>
            <c:strRef>
              <c:f>Sheet1!$H$5</c:f>
              <c:strCache>
                <c:ptCount val="1"/>
                <c:pt idx="0">
                  <c:v>Tred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Sheet1!$F$6:$F$16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Sheet1!$H$6:$H$16</c:f>
              <c:numCache>
                <c:formatCode>0.00</c:formatCode>
                <c:ptCount val="11"/>
                <c:pt idx="0">
                  <c:v>367.85</c:v>
                </c:pt>
                <c:pt idx="1">
                  <c:v>366.17326415608591</c:v>
                </c:pt>
                <c:pt idx="2">
                  <c:v>364.50035849970834</c:v>
                </c:pt>
                <c:pt idx="3">
                  <c:v>362.83128303086704</c:v>
                </c:pt>
                <c:pt idx="4">
                  <c:v>361.16603774956241</c:v>
                </c:pt>
                <c:pt idx="5">
                  <c:v>359.50462265579415</c:v>
                </c:pt>
                <c:pt idx="6">
                  <c:v>357.84703774956233</c:v>
                </c:pt>
                <c:pt idx="7">
                  <c:v>356.19328303086706</c:v>
                </c:pt>
                <c:pt idx="8">
                  <c:v>354.54335849970823</c:v>
                </c:pt>
                <c:pt idx="9">
                  <c:v>352.89726415608584</c:v>
                </c:pt>
                <c:pt idx="10">
                  <c:v>351.255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18-4C3D-995E-B3F3D725DD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5938480"/>
        <c:axId val="1175939440"/>
      </c:lineChart>
      <c:catAx>
        <c:axId val="1175938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1175939440"/>
        <c:crosses val="autoZero"/>
        <c:auto val="1"/>
        <c:lblAlgn val="ctr"/>
        <c:lblOffset val="100"/>
        <c:noMultiLvlLbl val="0"/>
      </c:catAx>
      <c:valAx>
        <c:axId val="1175939440"/>
        <c:scaling>
          <c:orientation val="minMax"/>
          <c:max val="390"/>
          <c:min val="3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1175938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Sheet1!$I$5</c:f>
              <c:strCache>
                <c:ptCount val="1"/>
                <c:pt idx="0">
                  <c:v>Dred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Sheet1!$F$6:$F$16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Sheet1!$I$6:$I$16</c:f>
              <c:numCache>
                <c:formatCode>0.00</c:formatCode>
                <c:ptCount val="11"/>
                <c:pt idx="0">
                  <c:v>4.18</c:v>
                </c:pt>
                <c:pt idx="1">
                  <c:v>4.4165064321496148</c:v>
                </c:pt>
                <c:pt idx="2">
                  <c:v>4.6757502757262523</c:v>
                </c:pt>
                <c:pt idx="3">
                  <c:v>4.9609872069208647</c:v>
                </c:pt>
                <c:pt idx="4">
                  <c:v>5.2761149516430832</c:v>
                </c:pt>
                <c:pt idx="5">
                  <c:v>5.6258389567891642</c:v>
                </c:pt>
                <c:pt idx="6">
                  <c:v>6.0158920753131611</c:v>
                </c:pt>
                <c:pt idx="7">
                  <c:v>6.4533299821516499</c:v>
                </c:pt>
                <c:pt idx="8">
                  <c:v>6.9469346240585175</c:v>
                </c:pt>
                <c:pt idx="9">
                  <c:v>7.5077747740926206</c:v>
                </c:pt>
                <c:pt idx="10">
                  <c:v>8.15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DB-4636-B498-DBC5E61479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5938960"/>
        <c:axId val="1175940880"/>
      </c:lineChart>
      <c:catAx>
        <c:axId val="1175938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1175940880"/>
        <c:crosses val="autoZero"/>
        <c:auto val="1"/>
        <c:lblAlgn val="ctr"/>
        <c:lblOffset val="100"/>
        <c:noMultiLvlLbl val="0"/>
      </c:catAx>
      <c:valAx>
        <c:axId val="1175940880"/>
        <c:scaling>
          <c:orientation val="minMax"/>
          <c:max val="9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117593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303139</xdr:colOff>
      <xdr:row>3</xdr:row>
      <xdr:rowOff>165393</xdr:rowOff>
    </xdr:from>
    <xdr:to>
      <xdr:col>17</xdr:col>
      <xdr:colOff>241202</xdr:colOff>
      <xdr:row>20</xdr:row>
      <xdr:rowOff>16315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655155C-39E7-418C-A6EC-1782480EB5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279693</xdr:colOff>
      <xdr:row>23</xdr:row>
      <xdr:rowOff>1270</xdr:rowOff>
    </xdr:from>
    <xdr:to>
      <xdr:col>17</xdr:col>
      <xdr:colOff>217756</xdr:colOff>
      <xdr:row>39</xdr:row>
      <xdr:rowOff>22176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4D969ADB-D7B3-45EA-B378-59F963A8C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622788</xdr:colOff>
      <xdr:row>1</xdr:row>
      <xdr:rowOff>9768</xdr:rowOff>
    </xdr:from>
    <xdr:to>
      <xdr:col>4</xdr:col>
      <xdr:colOff>43962</xdr:colOff>
      <xdr:row>3</xdr:row>
      <xdr:rowOff>120430</xdr:rowOff>
    </xdr:to>
    <xdr:sp macro="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A27151B8-5FEA-94A7-C162-AD5F6D250F06}"/>
            </a:ext>
          </a:extLst>
        </xdr:cNvPr>
        <xdr:cNvSpPr/>
      </xdr:nvSpPr>
      <xdr:spPr>
        <a:xfrm>
          <a:off x="622788" y="184940"/>
          <a:ext cx="2804191" cy="461007"/>
        </a:xfrm>
        <a:prstGeom prst="roundRect">
          <a:avLst/>
        </a:prstGeom>
        <a:noFill/>
        <a:ln w="38100"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438097</xdr:colOff>
      <xdr:row>2</xdr:row>
      <xdr:rowOff>164226</xdr:rowOff>
    </xdr:from>
    <xdr:to>
      <xdr:col>7</xdr:col>
      <xdr:colOff>98534</xdr:colOff>
      <xdr:row>17</xdr:row>
      <xdr:rowOff>65691</xdr:rowOff>
    </xdr:to>
    <xdr:sp macro="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C243857-7487-4C1E-A5F5-E668DF19DB24}"/>
            </a:ext>
          </a:extLst>
        </xdr:cNvPr>
        <xdr:cNvSpPr/>
      </xdr:nvSpPr>
      <xdr:spPr>
        <a:xfrm>
          <a:off x="3821114" y="514571"/>
          <a:ext cx="1631127" cy="2529051"/>
        </a:xfrm>
        <a:prstGeom prst="round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588394</xdr:colOff>
      <xdr:row>0</xdr:row>
      <xdr:rowOff>69110</xdr:rowOff>
    </xdr:from>
    <xdr:to>
      <xdr:col>9</xdr:col>
      <xdr:colOff>97490</xdr:colOff>
      <xdr:row>2</xdr:row>
      <xdr:rowOff>43794</xdr:rowOff>
    </xdr:to>
    <xdr:sp macro="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8B34C365-D513-48C4-8D1B-3846B8F6EA07}"/>
            </a:ext>
          </a:extLst>
        </xdr:cNvPr>
        <xdr:cNvSpPr/>
      </xdr:nvSpPr>
      <xdr:spPr>
        <a:xfrm>
          <a:off x="3971411" y="69110"/>
          <a:ext cx="2793579" cy="325029"/>
        </a:xfrm>
        <a:prstGeom prst="roundRect">
          <a:avLst/>
        </a:prstGeom>
        <a:noFill/>
        <a:ln w="38100">
          <a:solidFill>
            <a:schemeClr val="accent5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514350</xdr:colOff>
      <xdr:row>3</xdr:row>
      <xdr:rowOff>107950</xdr:rowOff>
    </xdr:from>
    <xdr:to>
      <xdr:col>35</xdr:col>
      <xdr:colOff>463550</xdr:colOff>
      <xdr:row>18</xdr:row>
      <xdr:rowOff>158750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F83EBEFF-6D22-4A2F-7497-7385A86F86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35</xdr:col>
      <xdr:colOff>654050</xdr:colOff>
      <xdr:row>3</xdr:row>
      <xdr:rowOff>44450</xdr:rowOff>
    </xdr:from>
    <xdr:to>
      <xdr:col>42</xdr:col>
      <xdr:colOff>603250</xdr:colOff>
      <xdr:row>18</xdr:row>
      <xdr:rowOff>95250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BEE31FBE-F070-7089-231E-DC5F1B972D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514350</xdr:colOff>
      <xdr:row>22</xdr:row>
      <xdr:rowOff>57150</xdr:rowOff>
    </xdr:from>
    <xdr:to>
      <xdr:col>35</xdr:col>
      <xdr:colOff>463550</xdr:colOff>
      <xdr:row>36</xdr:row>
      <xdr:rowOff>171450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D5611A9-FE84-E750-7659-3EB6A1006E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412750</xdr:colOff>
      <xdr:row>22</xdr:row>
      <xdr:rowOff>44450</xdr:rowOff>
    </xdr:from>
    <xdr:to>
      <xdr:col>43</xdr:col>
      <xdr:colOff>361950</xdr:colOff>
      <xdr:row>36</xdr:row>
      <xdr:rowOff>158750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0E6066D-0576-F70B-720C-C7DC3D5FD0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303139</xdr:colOff>
      <xdr:row>3</xdr:row>
      <xdr:rowOff>165393</xdr:rowOff>
    </xdr:from>
    <xdr:to>
      <xdr:col>17</xdr:col>
      <xdr:colOff>241202</xdr:colOff>
      <xdr:row>20</xdr:row>
      <xdr:rowOff>16315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F19D85E5-AA91-F0B8-BB5B-4367AC52B3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279693</xdr:colOff>
      <xdr:row>23</xdr:row>
      <xdr:rowOff>1270</xdr:rowOff>
    </xdr:from>
    <xdr:to>
      <xdr:col>17</xdr:col>
      <xdr:colOff>217756</xdr:colOff>
      <xdr:row>39</xdr:row>
      <xdr:rowOff>22176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94E46A5-4A05-FFCB-A8B8-12E10566B1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D2411-17B7-4B6E-ABF9-D59DA1056C90}">
  <sheetPr codeName="Sheet5" filterMode="1"/>
  <dimension ref="B1:AM990"/>
  <sheetViews>
    <sheetView topLeftCell="A124" zoomScaleNormal="100" workbookViewId="0">
      <selection activeCell="B175" sqref="B175"/>
    </sheetView>
  </sheetViews>
  <sheetFormatPr baseColWidth="10" defaultColWidth="8.83203125" defaultRowHeight="15"/>
  <cols>
    <col min="1" max="1" width="2.83203125" customWidth="1"/>
    <col min="2" max="2" width="33.6640625" customWidth="1"/>
    <col min="3" max="3" width="67" style="11" customWidth="1"/>
    <col min="4" max="4" width="9"/>
    <col min="17" max="17" width="2.83203125" customWidth="1"/>
  </cols>
  <sheetData>
    <row r="1" spans="2:39">
      <c r="R1" s="7" t="s">
        <v>1456</v>
      </c>
      <c r="S1" s="7"/>
      <c r="T1" s="7"/>
      <c r="U1" s="7"/>
      <c r="V1" s="7"/>
      <c r="W1" s="7"/>
      <c r="X1" s="7"/>
      <c r="Y1" s="7"/>
      <c r="Z1" s="7"/>
      <c r="AA1" s="7"/>
      <c r="AB1" s="7"/>
      <c r="AC1" s="10" t="s">
        <v>1457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</row>
    <row r="2" spans="2:39" hidden="1">
      <c r="Q2" s="5" t="s">
        <v>1458</v>
      </c>
      <c r="R2" s="5">
        <v>0</v>
      </c>
      <c r="S2" s="5">
        <v>0.1</v>
      </c>
      <c r="T2" s="5">
        <v>0.2</v>
      </c>
      <c r="U2" s="5">
        <v>0.3</v>
      </c>
      <c r="V2" s="5">
        <v>0.4</v>
      </c>
      <c r="W2" s="5">
        <v>0.5</v>
      </c>
      <c r="X2" s="5">
        <v>0.6</v>
      </c>
      <c r="Y2" s="5">
        <v>0.7</v>
      </c>
      <c r="Z2" s="5">
        <v>0.8</v>
      </c>
      <c r="AA2" s="5">
        <v>0.9</v>
      </c>
      <c r="AB2" s="5">
        <v>1</v>
      </c>
      <c r="AC2" s="5">
        <v>0</v>
      </c>
      <c r="AD2" s="5">
        <v>0.1</v>
      </c>
      <c r="AE2" s="5">
        <v>0.2</v>
      </c>
      <c r="AF2" s="5">
        <v>0.3</v>
      </c>
      <c r="AG2" s="5">
        <v>0.4</v>
      </c>
      <c r="AH2" s="5">
        <v>0.5</v>
      </c>
      <c r="AI2" s="5">
        <v>0.6</v>
      </c>
      <c r="AJ2" s="5">
        <v>0.7</v>
      </c>
      <c r="AK2" s="5">
        <v>0.8</v>
      </c>
      <c r="AL2" s="5">
        <v>0.9</v>
      </c>
      <c r="AM2" s="5">
        <v>1</v>
      </c>
    </row>
    <row r="3" spans="2:39">
      <c r="B3" t="s">
        <v>163</v>
      </c>
      <c r="C3" s="11" t="s">
        <v>1460</v>
      </c>
      <c r="D3" t="s">
        <v>2447</v>
      </c>
      <c r="E3" t="s">
        <v>164</v>
      </c>
      <c r="F3" t="s">
        <v>165</v>
      </c>
      <c r="G3" t="s">
        <v>166</v>
      </c>
      <c r="H3" t="s">
        <v>167</v>
      </c>
      <c r="I3" s="4"/>
      <c r="J3" s="4"/>
      <c r="K3" s="4"/>
      <c r="L3" s="4"/>
      <c r="M3" s="4"/>
      <c r="N3" s="4"/>
      <c r="O3" s="4"/>
      <c r="P3" s="4"/>
      <c r="Q3" s="6" t="s">
        <v>1459</v>
      </c>
      <c r="R3" s="6">
        <v>1</v>
      </c>
      <c r="S3" s="6">
        <v>0.9</v>
      </c>
      <c r="T3" s="6">
        <v>0.8</v>
      </c>
      <c r="U3" s="6">
        <v>0.7</v>
      </c>
      <c r="V3" s="6">
        <v>0.6</v>
      </c>
      <c r="W3" s="6">
        <v>0.5</v>
      </c>
      <c r="X3" s="6">
        <v>0.4</v>
      </c>
      <c r="Y3" s="6">
        <v>0.3</v>
      </c>
      <c r="Z3" s="6">
        <v>0.2</v>
      </c>
      <c r="AA3" s="6">
        <v>0.1</v>
      </c>
      <c r="AB3" s="6">
        <v>0</v>
      </c>
      <c r="AC3" s="6">
        <v>1</v>
      </c>
      <c r="AD3" s="6">
        <v>0.9</v>
      </c>
      <c r="AE3" s="6">
        <v>0.8</v>
      </c>
      <c r="AF3" s="6">
        <v>0.7</v>
      </c>
      <c r="AG3" s="6">
        <v>0.6</v>
      </c>
      <c r="AH3" s="6">
        <v>0.5</v>
      </c>
      <c r="AI3" s="6">
        <v>0.4</v>
      </c>
      <c r="AJ3" s="6">
        <v>0.3</v>
      </c>
      <c r="AK3" s="6">
        <v>0.2</v>
      </c>
      <c r="AL3" s="6">
        <v>0.1</v>
      </c>
      <c r="AM3" s="6">
        <v>0</v>
      </c>
    </row>
    <row r="4" spans="2:39" hidden="1">
      <c r="B4" t="s">
        <v>1171</v>
      </c>
      <c r="C4" s="11" t="s">
        <v>1461</v>
      </c>
      <c r="D4" t="s">
        <v>168</v>
      </c>
      <c r="E4">
        <v>1</v>
      </c>
      <c r="F4">
        <v>3.1597768550000001</v>
      </c>
      <c r="G4">
        <v>1</v>
      </c>
      <c r="H4">
        <v>0.881405683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R4">
        <v>5.1952999999999996</v>
      </c>
      <c r="S4">
        <v>24.009779146612324</v>
      </c>
      <c r="T4">
        <v>42.762567371755253</v>
      </c>
      <c r="U4">
        <v>61.453664675428755</v>
      </c>
      <c r="V4">
        <v>80.08307105763285</v>
      </c>
      <c r="W4">
        <v>98.650786518367568</v>
      </c>
      <c r="X4">
        <v>117.15681105763285</v>
      </c>
      <c r="Y4">
        <v>135.60114467542877</v>
      </c>
      <c r="Z4">
        <v>153.98378737175526</v>
      </c>
      <c r="AA4">
        <v>172.30473914661232</v>
      </c>
      <c r="AB4">
        <v>190.56399999999999</v>
      </c>
      <c r="AC4">
        <v>17.383700000000001</v>
      </c>
      <c r="AD4">
        <v>16.756786805915755</v>
      </c>
      <c r="AE4">
        <v>16.060488541704679</v>
      </c>
      <c r="AF4">
        <v>15.316976676166663</v>
      </c>
      <c r="AG4">
        <v>14.546597284751765</v>
      </c>
      <c r="AH4">
        <v>13.767031987030366</v>
      </c>
      <c r="AI4">
        <v>12.992896774888743</v>
      </c>
      <c r="AJ4">
        <v>12.23569390865317</v>
      </c>
      <c r="AK4">
        <v>11.504011261160809</v>
      </c>
      <c r="AL4">
        <v>10.803868439696453</v>
      </c>
      <c r="AM4">
        <v>10.139127999999999</v>
      </c>
    </row>
    <row r="5" spans="2:39" hidden="1">
      <c r="B5" t="s">
        <v>169</v>
      </c>
      <c r="C5" s="11" t="s">
        <v>1462</v>
      </c>
      <c r="D5" t="s">
        <v>170</v>
      </c>
      <c r="E5">
        <v>1</v>
      </c>
      <c r="F5">
        <v>1.352643115</v>
      </c>
      <c r="G5">
        <v>1</v>
      </c>
      <c r="H5">
        <v>1.0187025729999999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</row>
    <row r="6" spans="2:39" hidden="1">
      <c r="B6" t="s">
        <v>171</v>
      </c>
      <c r="C6" s="11" t="s">
        <v>1463</v>
      </c>
      <c r="D6" t="s">
        <v>172</v>
      </c>
      <c r="E6">
        <v>0.99809882999999999</v>
      </c>
      <c r="F6">
        <v>0.97927301300000003</v>
      </c>
      <c r="G6">
        <v>0.99872137699999997</v>
      </c>
      <c r="H6">
        <v>1.0139503110000001</v>
      </c>
      <c r="I6">
        <v>1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</row>
    <row r="7" spans="2:39" hidden="1">
      <c r="B7" t="s">
        <v>1185</v>
      </c>
      <c r="C7" s="11" t="s">
        <v>1464</v>
      </c>
      <c r="D7" t="s">
        <v>168</v>
      </c>
      <c r="E7">
        <v>0.98741173199999999</v>
      </c>
      <c r="F7">
        <v>0.987473033</v>
      </c>
      <c r="G7">
        <v>0.99734077200000004</v>
      </c>
      <c r="H7">
        <v>1.0061029269999999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R7">
        <v>132.86000000000001</v>
      </c>
      <c r="S7">
        <v>137.51859352793579</v>
      </c>
      <c r="T7">
        <v>142.54939951700695</v>
      </c>
      <c r="U7">
        <v>147.90631690212336</v>
      </c>
      <c r="V7">
        <v>153.54277861085583</v>
      </c>
      <c r="W7">
        <v>159.41174566029076</v>
      </c>
      <c r="X7">
        <v>165.46570116392357</v>
      </c>
      <c r="Y7">
        <v>171.65664424698679</v>
      </c>
      <c r="Z7">
        <v>177.93608386857679</v>
      </c>
      <c r="AA7">
        <v>184.25503254890938</v>
      </c>
      <c r="AB7">
        <v>190.56399999999999</v>
      </c>
      <c r="AC7">
        <v>10.85</v>
      </c>
      <c r="AD7">
        <v>10.767333213313334</v>
      </c>
      <c r="AE7">
        <v>10.685615020024734</v>
      </c>
      <c r="AF7">
        <v>10.605515315444336</v>
      </c>
      <c r="AG7">
        <v>10.527665146601398</v>
      </c>
      <c r="AH7">
        <v>10.452659746119632</v>
      </c>
      <c r="AI7">
        <v>10.381062163266865</v>
      </c>
      <c r="AJ7">
        <v>10.3134074003744</v>
      </c>
      <c r="AK7">
        <v>10.250206983521251</v>
      </c>
      <c r="AL7">
        <v>10.191953917865112</v>
      </c>
      <c r="AM7">
        <v>10.139127999999999</v>
      </c>
    </row>
    <row r="8" spans="2:39" hidden="1">
      <c r="B8" t="s">
        <v>173</v>
      </c>
      <c r="C8" s="11" t="s">
        <v>1465</v>
      </c>
      <c r="D8" t="s">
        <v>168</v>
      </c>
      <c r="E8">
        <v>0.99095428100000005</v>
      </c>
      <c r="F8">
        <v>0.98984338800000005</v>
      </c>
      <c r="G8">
        <v>1.0346302590000001</v>
      </c>
      <c r="H8">
        <v>1.014678542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R8">
        <v>150.68700000000001</v>
      </c>
      <c r="S8">
        <v>153.93535653541258</v>
      </c>
      <c r="T8">
        <v>157.44432414111628</v>
      </c>
      <c r="U8">
        <v>161.17824341424193</v>
      </c>
      <c r="V8">
        <v>165.10119620311639</v>
      </c>
      <c r="W8">
        <v>169.17700325610772</v>
      </c>
      <c r="X8">
        <v>173.36922184478718</v>
      </c>
      <c r="Y8">
        <v>177.64114336107957</v>
      </c>
      <c r="Z8">
        <v>181.95579088806943</v>
      </c>
      <c r="AA8">
        <v>186.27591674412531</v>
      </c>
      <c r="AB8">
        <v>190.56399999999999</v>
      </c>
      <c r="AC8">
        <v>13.407429649999999</v>
      </c>
      <c r="AD8">
        <v>12.895413275361422</v>
      </c>
      <c r="AE8">
        <v>12.471140799957876</v>
      </c>
      <c r="AF8">
        <v>12.109698880516643</v>
      </c>
      <c r="AG8">
        <v>11.792016571846453</v>
      </c>
      <c r="AH8">
        <v>11.50305776444085</v>
      </c>
      <c r="AI8">
        <v>11.23072867447935</v>
      </c>
      <c r="AJ8">
        <v>10.965224517475939</v>
      </c>
      <c r="AK8">
        <v>10.698651502487111</v>
      </c>
      <c r="AL8">
        <v>10.424818914041836</v>
      </c>
      <c r="AM8">
        <v>10.139127999999999</v>
      </c>
    </row>
    <row r="9" spans="2:39" hidden="1">
      <c r="B9" t="s">
        <v>174</v>
      </c>
      <c r="C9" s="11" t="s">
        <v>1466</v>
      </c>
      <c r="D9" t="s">
        <v>168</v>
      </c>
      <c r="E9">
        <v>1</v>
      </c>
      <c r="F9">
        <v>0.95</v>
      </c>
      <c r="G9">
        <v>1</v>
      </c>
      <c r="H9">
        <v>1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R9">
        <v>154.59899999999999</v>
      </c>
      <c r="S9">
        <v>156.48162578424538</v>
      </c>
      <c r="T9">
        <v>158.74511250532515</v>
      </c>
      <c r="U9">
        <v>161.38946016323919</v>
      </c>
      <c r="V9">
        <v>164.41466875798764</v>
      </c>
      <c r="W9">
        <v>167.8207382895705</v>
      </c>
      <c r="X9">
        <v>171.60766875798765</v>
      </c>
      <c r="Y9">
        <v>175.77546016323919</v>
      </c>
      <c r="Z9">
        <v>180.3241125053251</v>
      </c>
      <c r="AA9">
        <v>185.25362578424537</v>
      </c>
      <c r="AB9">
        <v>190.56399999999999</v>
      </c>
      <c r="AC9">
        <v>13.342188999999999</v>
      </c>
      <c r="AD9">
        <v>12.94991030757298</v>
      </c>
      <c r="AE9">
        <v>12.576616546830746</v>
      </c>
      <c r="AF9">
        <v>12.221008489383637</v>
      </c>
      <c r="AG9">
        <v>11.881901824983787</v>
      </c>
      <c r="AH9">
        <v>11.558214757703453</v>
      </c>
      <c r="AI9">
        <v>11.248957173854503</v>
      </c>
      <c r="AJ9">
        <v>10.953221154133313</v>
      </c>
      <c r="AK9">
        <v>10.670172639350113</v>
      </c>
      <c r="AL9">
        <v>10.399044089386138</v>
      </c>
      <c r="AM9">
        <v>10.139127999999999</v>
      </c>
    </row>
    <row r="10" spans="2:39">
      <c r="B10" t="s">
        <v>175</v>
      </c>
      <c r="C10" s="11" t="s">
        <v>1467</v>
      </c>
      <c r="D10" t="s">
        <v>176</v>
      </c>
      <c r="E10">
        <v>1</v>
      </c>
      <c r="F10">
        <v>0.99308529999999995</v>
      </c>
      <c r="G10">
        <v>1</v>
      </c>
      <c r="H10">
        <v>1.0003826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</row>
    <row r="11" spans="2:39" hidden="1">
      <c r="B11" t="s">
        <v>177</v>
      </c>
      <c r="C11" s="11" t="s">
        <v>1468</v>
      </c>
      <c r="D11" t="s">
        <v>168</v>
      </c>
      <c r="E11">
        <v>1.004</v>
      </c>
      <c r="F11">
        <v>1.0209999999999999</v>
      </c>
      <c r="G11">
        <v>1</v>
      </c>
      <c r="H11">
        <v>0.99</v>
      </c>
      <c r="I11">
        <v>0.106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R11">
        <v>282.35000000000002</v>
      </c>
      <c r="S11">
        <v>273.37510686650631</v>
      </c>
      <c r="T11">
        <v>264.29409873620295</v>
      </c>
      <c r="U11">
        <v>255.12992088737309</v>
      </c>
      <c r="V11">
        <v>245.90544526170609</v>
      </c>
      <c r="W11">
        <v>236.64347075705695</v>
      </c>
      <c r="X11">
        <v>227.3667235188052</v>
      </c>
      <c r="Y11">
        <v>218.09785722981911</v>
      </c>
      <c r="Z11">
        <v>208.85945339903549</v>
      </c>
      <c r="AA11">
        <v>199.67402164866036</v>
      </c>
      <c r="AB11">
        <v>190.56399999999999</v>
      </c>
      <c r="AC11">
        <v>7.6367659799999998</v>
      </c>
      <c r="AD11">
        <v>7.8510635218428577</v>
      </c>
      <c r="AE11">
        <v>8.0727729758092792</v>
      </c>
      <c r="AF11">
        <v>8.3021199003384556</v>
      </c>
      <c r="AG11">
        <v>8.5393267340694621</v>
      </c>
      <c r="AH11">
        <v>8.7846108399584555</v>
      </c>
      <c r="AI11">
        <v>9.0381822428375429</v>
      </c>
      <c r="AJ11">
        <v>9.3002410272641693</v>
      </c>
      <c r="AK11">
        <v>9.5709743610409532</v>
      </c>
      <c r="AL11">
        <v>9.850553108825773</v>
      </c>
      <c r="AM11">
        <v>10.139127999999999</v>
      </c>
    </row>
    <row r="12" spans="2:39" hidden="1">
      <c r="B12" t="s">
        <v>178</v>
      </c>
      <c r="C12" s="11" t="s">
        <v>1469</v>
      </c>
      <c r="D12" t="s">
        <v>179</v>
      </c>
      <c r="E12">
        <v>0.99633650799999995</v>
      </c>
      <c r="F12">
        <v>1.0497076970000001</v>
      </c>
      <c r="G12">
        <v>0.99754786600000001</v>
      </c>
      <c r="H12">
        <v>1.0066178670000001</v>
      </c>
      <c r="I12">
        <v>1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</row>
    <row r="13" spans="2:39">
      <c r="B13" t="s">
        <v>180</v>
      </c>
      <c r="C13" s="11" t="s">
        <v>1470</v>
      </c>
      <c r="D13" t="s">
        <v>176</v>
      </c>
      <c r="E13">
        <v>0.98875999999999997</v>
      </c>
      <c r="F13">
        <v>1.0235399999999999</v>
      </c>
      <c r="G13">
        <v>1</v>
      </c>
      <c r="H13">
        <v>1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</row>
    <row r="14" spans="2:39" hidden="1">
      <c r="B14" t="s">
        <v>181</v>
      </c>
      <c r="C14" s="11" t="s">
        <v>1471</v>
      </c>
      <c r="D14" t="s">
        <v>182</v>
      </c>
      <c r="E14">
        <v>1.0226244900000001</v>
      </c>
      <c r="F14">
        <v>0.975665369</v>
      </c>
      <c r="G14">
        <v>0.99951807199999998</v>
      </c>
      <c r="H14">
        <v>1.0028065939999999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</row>
    <row r="15" spans="2:39" hidden="1">
      <c r="B15" t="s">
        <v>183</v>
      </c>
      <c r="C15" s="11" t="s">
        <v>1472</v>
      </c>
      <c r="D15" t="s">
        <v>168</v>
      </c>
      <c r="E15">
        <v>1.0110900309999999</v>
      </c>
      <c r="F15">
        <v>0.96115572900000001</v>
      </c>
      <c r="G15">
        <v>1.0125990869999999</v>
      </c>
      <c r="H15">
        <v>1.0401612069999999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R15">
        <v>373.1</v>
      </c>
      <c r="S15">
        <v>350.65612963851993</v>
      </c>
      <c r="T15">
        <v>328.9597214603412</v>
      </c>
      <c r="U15">
        <v>308.08073472876697</v>
      </c>
      <c r="V15">
        <v>288.08851010379601</v>
      </c>
      <c r="W15">
        <v>269.05177646441376</v>
      </c>
      <c r="X15">
        <v>251.03865764079478</v>
      </c>
      <c r="Y15">
        <v>234.11667905780098</v>
      </c>
      <c r="Z15">
        <v>218.35277429113552</v>
      </c>
      <c r="AA15">
        <v>203.81329153749036</v>
      </c>
      <c r="AB15">
        <v>190.56399999999999</v>
      </c>
      <c r="AC15">
        <v>10.19</v>
      </c>
      <c r="AD15">
        <v>10.092780231283106</v>
      </c>
      <c r="AE15">
        <v>10.025720313187904</v>
      </c>
      <c r="AF15">
        <v>9.9844781330925301</v>
      </c>
      <c r="AG15">
        <v>9.9652948705918938</v>
      </c>
      <c r="AH15">
        <v>9.9648177886620406</v>
      </c>
      <c r="AI15">
        <v>9.9799633401800758</v>
      </c>
      <c r="AJ15">
        <v>10.007809922650969</v>
      </c>
      <c r="AK15">
        <v>10.045513537213642</v>
      </c>
      <c r="AL15">
        <v>10.090242336522785</v>
      </c>
      <c r="AM15">
        <v>10.139127999999999</v>
      </c>
    </row>
    <row r="16" spans="2:39">
      <c r="B16" t="s">
        <v>184</v>
      </c>
      <c r="C16" s="11" t="s">
        <v>1473</v>
      </c>
      <c r="D16" t="s">
        <v>176</v>
      </c>
      <c r="E16">
        <v>1</v>
      </c>
      <c r="F16">
        <v>1.0390999999999999</v>
      </c>
      <c r="G16">
        <v>1</v>
      </c>
      <c r="H16">
        <v>1.1443000000000001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</row>
    <row r="17" spans="2:39">
      <c r="B17" t="s">
        <v>185</v>
      </c>
      <c r="C17" s="11" t="s">
        <v>1474</v>
      </c>
      <c r="D17" t="s">
        <v>176</v>
      </c>
      <c r="E17">
        <v>0.998</v>
      </c>
      <c r="F17">
        <v>1.117</v>
      </c>
      <c r="G17">
        <v>1</v>
      </c>
      <c r="H17">
        <v>1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</row>
    <row r="18" spans="2:39" hidden="1">
      <c r="B18" t="s">
        <v>186</v>
      </c>
      <c r="C18" s="11" t="s">
        <v>1475</v>
      </c>
      <c r="D18" t="s">
        <v>187</v>
      </c>
      <c r="E18">
        <v>0.98968030500000004</v>
      </c>
      <c r="F18">
        <v>1.0986555309999999</v>
      </c>
      <c r="G18">
        <v>1.0048270699999999</v>
      </c>
      <c r="H18">
        <v>1.038470657</v>
      </c>
      <c r="I18">
        <v>1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</row>
    <row r="19" spans="2:39">
      <c r="B19" t="s">
        <v>188</v>
      </c>
      <c r="C19" s="11" t="s">
        <v>1476</v>
      </c>
      <c r="D19" t="s">
        <v>176</v>
      </c>
      <c r="E19">
        <v>1</v>
      </c>
      <c r="F19">
        <v>1.1114773</v>
      </c>
      <c r="G19">
        <v>1</v>
      </c>
      <c r="H19">
        <v>1.0219928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</row>
    <row r="20" spans="2:39" hidden="1">
      <c r="B20" t="s">
        <v>189</v>
      </c>
      <c r="C20" s="11" t="s">
        <v>1477</v>
      </c>
      <c r="D20" t="s">
        <v>190</v>
      </c>
      <c r="E20">
        <v>1.0223709999999999</v>
      </c>
      <c r="F20">
        <v>0.94015599999999999</v>
      </c>
      <c r="G20">
        <v>1.0060579999999999</v>
      </c>
      <c r="H20">
        <v>1.069834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R20">
        <v>405.56</v>
      </c>
      <c r="S20">
        <v>378.29082439337333</v>
      </c>
      <c r="T20">
        <v>351.92211359804509</v>
      </c>
      <c r="U20">
        <v>326.60146326663369</v>
      </c>
      <c r="V20">
        <v>302.47384549398248</v>
      </c>
      <c r="W20">
        <v>279.6816668524346</v>
      </c>
      <c r="X20">
        <v>258.36482489335037</v>
      </c>
      <c r="Y20">
        <v>238.66076316194477</v>
      </c>
      <c r="Z20">
        <v>220.70452477088571</v>
      </c>
      <c r="AA20">
        <v>204.62880457651076</v>
      </c>
      <c r="AB20">
        <v>190.56399999999999</v>
      </c>
      <c r="AC20">
        <v>13.696</v>
      </c>
      <c r="AD20">
        <v>13.053105182162978</v>
      </c>
      <c r="AE20">
        <v>12.509262243130639</v>
      </c>
      <c r="AF20">
        <v>12.045380373608927</v>
      </c>
      <c r="AG20">
        <v>11.646957389506305</v>
      </c>
      <c r="AH20">
        <v>11.302764082482362</v>
      </c>
      <c r="AI20">
        <v>11.003954610929839</v>
      </c>
      <c r="AJ20">
        <v>10.743450077511254</v>
      </c>
      <c r="AK20">
        <v>10.515502072647783</v>
      </c>
      <c r="AL20">
        <v>10.315377647614879</v>
      </c>
      <c r="AM20">
        <v>10.139127999999999</v>
      </c>
    </row>
    <row r="21" spans="2:39">
      <c r="B21" t="s">
        <v>191</v>
      </c>
      <c r="C21" s="11" t="s">
        <v>1478</v>
      </c>
      <c r="D21" t="s">
        <v>176</v>
      </c>
      <c r="E21">
        <v>1</v>
      </c>
      <c r="F21">
        <v>1.1117999999999999</v>
      </c>
      <c r="G21">
        <v>1</v>
      </c>
      <c r="H21">
        <v>1.1093999999999999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</row>
    <row r="22" spans="2:39" hidden="1">
      <c r="B22" t="s">
        <v>192</v>
      </c>
      <c r="C22" s="11" t="s">
        <v>1479</v>
      </c>
      <c r="D22" t="s">
        <v>193</v>
      </c>
      <c r="E22">
        <v>0.9405</v>
      </c>
      <c r="F22">
        <v>0.99170000000000003</v>
      </c>
      <c r="G22">
        <v>1.0434000000000001</v>
      </c>
      <c r="H22">
        <v>1.143</v>
      </c>
      <c r="I22">
        <v>1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</row>
    <row r="23" spans="2:39">
      <c r="B23" t="s">
        <v>194</v>
      </c>
      <c r="C23" s="11" t="s">
        <v>1480</v>
      </c>
      <c r="D23" t="s">
        <v>176</v>
      </c>
      <c r="E23">
        <v>1.03694</v>
      </c>
      <c r="F23">
        <v>1.0708200000000001</v>
      </c>
      <c r="G23">
        <v>1</v>
      </c>
      <c r="H23">
        <v>1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</row>
    <row r="24" spans="2:39">
      <c r="B24" t="s">
        <v>195</v>
      </c>
      <c r="C24" s="11" t="s">
        <v>1481</v>
      </c>
      <c r="D24" t="s">
        <v>176</v>
      </c>
      <c r="E24">
        <v>1.013695</v>
      </c>
      <c r="F24">
        <v>1.12365</v>
      </c>
      <c r="G24">
        <v>1</v>
      </c>
      <c r="H24">
        <v>1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</row>
    <row r="25" spans="2:39" hidden="1">
      <c r="B25" t="s">
        <v>196</v>
      </c>
      <c r="C25" s="11" t="s">
        <v>1482</v>
      </c>
      <c r="D25" t="s">
        <v>197</v>
      </c>
      <c r="E25">
        <v>0.94210000000000005</v>
      </c>
      <c r="F25">
        <v>1.0306999999999999</v>
      </c>
      <c r="G25">
        <v>1.0349999999999999</v>
      </c>
      <c r="H25">
        <v>1.1180000000000001</v>
      </c>
      <c r="I25">
        <v>1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</row>
    <row r="26" spans="2:39">
      <c r="B26" t="s">
        <v>198</v>
      </c>
      <c r="C26" s="11" t="s">
        <v>1483</v>
      </c>
      <c r="D26" t="s">
        <v>176</v>
      </c>
      <c r="E26">
        <v>1</v>
      </c>
      <c r="F26">
        <v>1.1976</v>
      </c>
      <c r="G26">
        <v>1</v>
      </c>
      <c r="H26">
        <v>1.0771999999999999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</row>
    <row r="27" spans="2:39" hidden="1">
      <c r="B27" t="s">
        <v>199</v>
      </c>
      <c r="C27" s="11" t="s">
        <v>1484</v>
      </c>
      <c r="D27" t="s">
        <v>200</v>
      </c>
      <c r="E27">
        <v>0.88600000000000001</v>
      </c>
      <c r="F27">
        <v>0.99299999999999999</v>
      </c>
      <c r="G27">
        <v>1.0229999999999999</v>
      </c>
      <c r="H27">
        <v>1.0760000000000001</v>
      </c>
      <c r="I27">
        <v>1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</row>
    <row r="28" spans="2:39" hidden="1">
      <c r="B28" t="s">
        <v>201</v>
      </c>
      <c r="C28" s="11" t="s">
        <v>1485</v>
      </c>
      <c r="D28" t="s">
        <v>202</v>
      </c>
      <c r="E28">
        <v>0.90820000000000001</v>
      </c>
      <c r="F28">
        <v>1.03884</v>
      </c>
      <c r="G28">
        <v>1.02874</v>
      </c>
      <c r="H28">
        <v>1.13209</v>
      </c>
      <c r="I28">
        <v>1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</row>
    <row r="29" spans="2:39" hidden="1">
      <c r="B29" t="s">
        <v>203</v>
      </c>
      <c r="C29" s="11" t="s">
        <v>1486</v>
      </c>
      <c r="D29" t="s">
        <v>168</v>
      </c>
      <c r="E29">
        <v>0.97199999999999998</v>
      </c>
      <c r="F29">
        <v>1.3080000000000001</v>
      </c>
      <c r="G29">
        <v>0.71299999999999997</v>
      </c>
      <c r="H29">
        <v>1.137</v>
      </c>
      <c r="I29">
        <v>1.276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R29">
        <v>513.38</v>
      </c>
      <c r="S29">
        <v>489.71999598883377</v>
      </c>
      <c r="T29">
        <v>464.85850595665676</v>
      </c>
      <c r="U29">
        <v>438.53815025398609</v>
      </c>
      <c r="V29">
        <v>410.49573625369987</v>
      </c>
      <c r="W29">
        <v>380.46209330989348</v>
      </c>
      <c r="X29">
        <v>348.16190206163941</v>
      </c>
      <c r="Y29">
        <v>313.31351785428438</v>
      </c>
      <c r="Z29">
        <v>275.62878804041156</v>
      </c>
      <c r="AA29">
        <v>234.81286291154109</v>
      </c>
      <c r="AB29">
        <v>190.56399999999999</v>
      </c>
      <c r="AC29">
        <v>8.7851700000000008</v>
      </c>
      <c r="AD29">
        <v>9.1356066225509736</v>
      </c>
      <c r="AE29">
        <v>9.3191883344086275</v>
      </c>
      <c r="AF29">
        <v>9.3452310537004397</v>
      </c>
      <c r="AG29">
        <v>9.2485048756915269</v>
      </c>
      <c r="AH29">
        <v>9.081888096972353</v>
      </c>
      <c r="AI29">
        <v>8.9087308532087004</v>
      </c>
      <c r="AJ29">
        <v>8.8008218328115593</v>
      </c>
      <c r="AK29">
        <v>8.8480269434790664</v>
      </c>
      <c r="AL29">
        <v>9.1926716205330035</v>
      </c>
      <c r="AM29">
        <v>10.139127999999999</v>
      </c>
    </row>
    <row r="30" spans="2:39" hidden="1">
      <c r="B30" t="s">
        <v>204</v>
      </c>
      <c r="C30" s="11" t="s">
        <v>1487</v>
      </c>
      <c r="D30" t="s">
        <v>168</v>
      </c>
      <c r="E30">
        <v>0.98184479700000005</v>
      </c>
      <c r="F30">
        <v>1.3305701809999999</v>
      </c>
      <c r="G30">
        <v>0.95801529399999996</v>
      </c>
      <c r="H30">
        <v>1.052643846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R30">
        <v>507.82</v>
      </c>
      <c r="S30">
        <v>486.65637935465929</v>
      </c>
      <c r="T30">
        <v>463.61867129304903</v>
      </c>
      <c r="U30">
        <v>438.53401004698833</v>
      </c>
      <c r="V30">
        <v>411.22700557913333</v>
      </c>
      <c r="W30">
        <v>381.5196973384127</v>
      </c>
      <c r="X30">
        <v>349.23150699508682</v>
      </c>
      <c r="Y30">
        <v>314.17919012906498</v>
      </c>
      <c r="Z30">
        <v>276.1767868443344</v>
      </c>
      <c r="AA30">
        <v>235.03557128155063</v>
      </c>
      <c r="AB30">
        <v>190.56399999999999</v>
      </c>
      <c r="AC30">
        <v>2.706</v>
      </c>
      <c r="AD30">
        <v>2.9596635112365544</v>
      </c>
      <c r="AE30">
        <v>3.2490812097164277</v>
      </c>
      <c r="AF30">
        <v>3.5834401300096572</v>
      </c>
      <c r="AG30">
        <v>3.9758422302092526</v>
      </c>
      <c r="AH30">
        <v>4.445600680174703</v>
      </c>
      <c r="AI30">
        <v>5.0223264049704595</v>
      </c>
      <c r="AJ30">
        <v>5.7536784425431051</v>
      </c>
      <c r="AK30">
        <v>6.7212929098002556</v>
      </c>
      <c r="AL30">
        <v>8.0771309854253523</v>
      </c>
      <c r="AM30">
        <v>10.139127999999999</v>
      </c>
    </row>
    <row r="31" spans="2:39" hidden="1">
      <c r="B31" t="s">
        <v>205</v>
      </c>
      <c r="C31" s="11" t="s">
        <v>1488</v>
      </c>
      <c r="D31" t="s">
        <v>168</v>
      </c>
      <c r="E31">
        <v>0.95399999999999996</v>
      </c>
      <c r="F31">
        <v>1.3660000000000001</v>
      </c>
      <c r="G31">
        <v>1</v>
      </c>
      <c r="H31">
        <v>1</v>
      </c>
      <c r="I31">
        <v>1.486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R31">
        <v>514.71</v>
      </c>
      <c r="S31">
        <v>492.95083799501839</v>
      </c>
      <c r="T31">
        <v>470.03003800413137</v>
      </c>
      <c r="U31">
        <v>445.52451044214217</v>
      </c>
      <c r="V31">
        <v>418.99538682181247</v>
      </c>
      <c r="W31">
        <v>389.9872772487812</v>
      </c>
      <c r="X31">
        <v>358.02748559021848</v>
      </c>
      <c r="Y31">
        <v>322.62517947528113</v>
      </c>
      <c r="Z31">
        <v>283.27051206525311</v>
      </c>
      <c r="AA31">
        <v>239.43369229168732</v>
      </c>
      <c r="AB31">
        <v>190.56399999999999</v>
      </c>
      <c r="AC31">
        <v>5.93</v>
      </c>
      <c r="AD31">
        <v>6.20835852099448</v>
      </c>
      <c r="AE31">
        <v>6.5088579444471577</v>
      </c>
      <c r="AF31">
        <v>6.8341068841893176</v>
      </c>
      <c r="AG31">
        <v>7.1871340898780636</v>
      </c>
      <c r="AH31">
        <v>7.5714761929650836</v>
      </c>
      <c r="AI31">
        <v>7.9912883737476283</v>
      </c>
      <c r="AJ31">
        <v>8.4514852503188038</v>
      </c>
      <c r="AK31">
        <v>8.9579220743333341</v>
      </c>
      <c r="AL31">
        <v>9.5176303567592058</v>
      </c>
      <c r="AM31">
        <v>10.139127999999999</v>
      </c>
    </row>
    <row r="32" spans="2:39" hidden="1">
      <c r="B32" t="s">
        <v>206</v>
      </c>
      <c r="C32" s="11" t="s">
        <v>1489</v>
      </c>
      <c r="D32" t="s">
        <v>187</v>
      </c>
      <c r="E32">
        <v>0.98199999999999998</v>
      </c>
      <c r="F32">
        <v>1.266</v>
      </c>
      <c r="G32">
        <v>1</v>
      </c>
      <c r="H32">
        <v>1</v>
      </c>
      <c r="I32">
        <v>0.95499999999999996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</row>
    <row r="33" spans="2:39" hidden="1">
      <c r="B33" t="s">
        <v>207</v>
      </c>
      <c r="C33" s="11" t="s">
        <v>1490</v>
      </c>
      <c r="D33" t="s">
        <v>168</v>
      </c>
      <c r="E33">
        <v>1</v>
      </c>
      <c r="F33">
        <v>1.3145</v>
      </c>
      <c r="G33">
        <v>1</v>
      </c>
      <c r="H33">
        <v>1.0834999999999999</v>
      </c>
      <c r="I33">
        <v>-0.39860000000000001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R33">
        <v>553.6</v>
      </c>
      <c r="S33">
        <v>527.17300158951582</v>
      </c>
      <c r="T33">
        <v>498.55120282580594</v>
      </c>
      <c r="U33">
        <v>467.73460370887005</v>
      </c>
      <c r="V33">
        <v>434.72320423870872</v>
      </c>
      <c r="W33">
        <v>399.51700441532159</v>
      </c>
      <c r="X33">
        <v>362.11600423870874</v>
      </c>
      <c r="Y33">
        <v>322.52020370887016</v>
      </c>
      <c r="Z33">
        <v>280.72960282580584</v>
      </c>
      <c r="AA33">
        <v>236.74420158951577</v>
      </c>
      <c r="AB33">
        <v>190.56399999999999</v>
      </c>
      <c r="AC33">
        <v>3.2240000000000002</v>
      </c>
      <c r="AD33">
        <v>3.4692741550825548</v>
      </c>
      <c r="AE33">
        <v>3.7525162839467732</v>
      </c>
      <c r="AF33">
        <v>4.0832483997517217</v>
      </c>
      <c r="AG33">
        <v>4.4744663417818558</v>
      </c>
      <c r="AH33">
        <v>4.9443828951799791</v>
      </c>
      <c r="AI33">
        <v>5.5193376057514838</v>
      </c>
      <c r="AJ33">
        <v>6.2388987114514034</v>
      </c>
      <c r="AK33">
        <v>7.1653605134384577</v>
      </c>
      <c r="AL33">
        <v>8.4027948093466716</v>
      </c>
      <c r="AM33">
        <v>10.139127999999999</v>
      </c>
    </row>
    <row r="34" spans="2:39" hidden="1">
      <c r="B34" t="s">
        <v>208</v>
      </c>
      <c r="C34" s="11" t="s">
        <v>1491</v>
      </c>
      <c r="D34" t="s">
        <v>168</v>
      </c>
      <c r="E34">
        <v>0.97743152899999997</v>
      </c>
      <c r="F34">
        <v>1.3798503280000001</v>
      </c>
      <c r="G34">
        <v>0.962050831</v>
      </c>
      <c r="H34">
        <v>1.1566559350000001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R34">
        <v>540.20000000000005</v>
      </c>
      <c r="S34">
        <v>517.70803605750473</v>
      </c>
      <c r="T34">
        <v>493.07093118229926</v>
      </c>
      <c r="U34">
        <v>466.06124712791893</v>
      </c>
      <c r="V34">
        <v>436.44741184542488</v>
      </c>
      <c r="W34">
        <v>403.99362513732819</v>
      </c>
      <c r="X34">
        <v>368.45976171574779</v>
      </c>
      <c r="Y34">
        <v>329.60127158109202</v>
      </c>
      <c r="Z34">
        <v>287.1690776344625</v>
      </c>
      <c r="AA34">
        <v>240.90947043374638</v>
      </c>
      <c r="AB34">
        <v>190.56399999999999</v>
      </c>
      <c r="AC34">
        <v>2.33</v>
      </c>
      <c r="AD34">
        <v>2.5379509198631807</v>
      </c>
      <c r="AE34">
        <v>2.7783053284709465</v>
      </c>
      <c r="AF34">
        <v>3.0608467196170563</v>
      </c>
      <c r="AG34">
        <v>3.3999555503963639</v>
      </c>
      <c r="AH34">
        <v>3.817594145573076</v>
      </c>
      <c r="AI34">
        <v>4.348951471377025</v>
      </c>
      <c r="AJ34">
        <v>5.0540023594879848</v>
      </c>
      <c r="AK34">
        <v>6.0437522811515789</v>
      </c>
      <c r="AL34">
        <v>7.5488010110787949</v>
      </c>
      <c r="AM34">
        <v>10.139127999999999</v>
      </c>
    </row>
    <row r="35" spans="2:39" hidden="1">
      <c r="B35" t="s">
        <v>209</v>
      </c>
      <c r="C35" s="11" t="s">
        <v>1492</v>
      </c>
      <c r="D35" t="s">
        <v>168</v>
      </c>
      <c r="E35">
        <v>1.0633339129999999</v>
      </c>
      <c r="F35">
        <v>0.77581051300000003</v>
      </c>
      <c r="G35">
        <v>1.012783169</v>
      </c>
      <c r="H35">
        <v>1.5850183339999999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R35">
        <v>647.096</v>
      </c>
      <c r="S35">
        <v>577.5245727220439</v>
      </c>
      <c r="T35">
        <v>512.10299421665911</v>
      </c>
      <c r="U35">
        <v>451.30672279759852</v>
      </c>
      <c r="V35">
        <v>395.58759838133403</v>
      </c>
      <c r="W35">
        <v>345.3752910528741</v>
      </c>
      <c r="X35">
        <v>301.07864431119481</v>
      </c>
      <c r="Y35">
        <v>263.08692182106074</v>
      </c>
      <c r="Z35">
        <v>231.77096566258115</v>
      </c>
      <c r="AA35">
        <v>207.48427332231842</v>
      </c>
      <c r="AB35">
        <v>190.56399999999999</v>
      </c>
      <c r="AC35">
        <v>17.873727995599999</v>
      </c>
      <c r="AD35">
        <v>14.705547815896454</v>
      </c>
      <c r="AE35">
        <v>12.783441028917139</v>
      </c>
      <c r="AF35">
        <v>11.539391509486149</v>
      </c>
      <c r="AG35">
        <v>10.713600597205941</v>
      </c>
      <c r="AH35">
        <v>10.172734648913048</v>
      </c>
      <c r="AI35">
        <v>9.844042723640225</v>
      </c>
      <c r="AJ35">
        <v>9.6878221318834914</v>
      </c>
      <c r="AK35">
        <v>9.6850347837853388</v>
      </c>
      <c r="AL35">
        <v>9.8319851447827986</v>
      </c>
      <c r="AM35">
        <v>10.139127999999999</v>
      </c>
    </row>
    <row r="36" spans="2:39">
      <c r="B36" t="s">
        <v>210</v>
      </c>
      <c r="C36" s="11" t="s">
        <v>1493</v>
      </c>
      <c r="D36" t="s">
        <v>176</v>
      </c>
      <c r="E36">
        <v>0.98</v>
      </c>
      <c r="F36">
        <v>1.363</v>
      </c>
      <c r="G36">
        <v>0.96099999999999997</v>
      </c>
      <c r="H36">
        <v>1.0409999999999999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</row>
    <row r="37" spans="2:39" hidden="1">
      <c r="B37" t="s">
        <v>211</v>
      </c>
      <c r="C37" s="11" t="s">
        <v>1494</v>
      </c>
      <c r="D37" t="s">
        <v>168</v>
      </c>
      <c r="E37">
        <v>0.96699999999999997</v>
      </c>
      <c r="F37">
        <v>1.34</v>
      </c>
      <c r="G37">
        <v>0.96099999999999997</v>
      </c>
      <c r="H37">
        <v>1.085</v>
      </c>
      <c r="I37">
        <v>1.3129999999999999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R37">
        <v>591.75</v>
      </c>
      <c r="S37">
        <v>560.05859509424135</v>
      </c>
      <c r="T37">
        <v>527.41618606686598</v>
      </c>
      <c r="U37">
        <v>493.49315018257687</v>
      </c>
      <c r="V37">
        <v>457.95107811085632</v>
      </c>
      <c r="W37">
        <v>420.44247918671402</v>
      </c>
      <c r="X37">
        <v>380.61047472715552</v>
      </c>
      <c r="Y37">
        <v>338.08847883481519</v>
      </c>
      <c r="Z37">
        <v>292.49986608905806</v>
      </c>
      <c r="AA37">
        <v>243.45762549178033</v>
      </c>
      <c r="AB37">
        <v>190.56399999999999</v>
      </c>
      <c r="AC37">
        <v>3.169</v>
      </c>
      <c r="AD37">
        <v>3.4261244936526389</v>
      </c>
      <c r="AE37">
        <v>3.7157836012518866</v>
      </c>
      <c r="AF37">
        <v>4.0465179898098658</v>
      </c>
      <c r="AG37">
        <v>4.4304981447312706</v>
      </c>
      <c r="AH37">
        <v>4.8855549463274723</v>
      </c>
      <c r="AI37">
        <v>5.4387230260150812</v>
      </c>
      <c r="AJ37">
        <v>6.1328109245489699</v>
      </c>
      <c r="AK37">
        <v>7.0395346606865825</v>
      </c>
      <c r="AL37">
        <v>8.2884201396141481</v>
      </c>
      <c r="AM37">
        <v>10.139127999999999</v>
      </c>
    </row>
    <row r="38" spans="2:39" hidden="1">
      <c r="B38" t="s">
        <v>212</v>
      </c>
      <c r="C38" s="11" t="s">
        <v>1495</v>
      </c>
      <c r="D38" t="s">
        <v>168</v>
      </c>
      <c r="E38">
        <v>0.95747378500000002</v>
      </c>
      <c r="F38">
        <v>1.449245409</v>
      </c>
      <c r="G38">
        <v>0.994740603</v>
      </c>
      <c r="H38">
        <v>1.1165493719999999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R38">
        <v>568.74</v>
      </c>
      <c r="S38">
        <v>545.50307806368914</v>
      </c>
      <c r="T38">
        <v>520.27387882431435</v>
      </c>
      <c r="U38">
        <v>492.61241612579124</v>
      </c>
      <c r="V38">
        <v>462.06354870937287</v>
      </c>
      <c r="W38">
        <v>428.15632203358166</v>
      </c>
      <c r="X38">
        <v>390.40327549219626</v>
      </c>
      <c r="Y38">
        <v>348.29971288924821</v>
      </c>
      <c r="Z38">
        <v>301.32293387723115</v>
      </c>
      <c r="AA38">
        <v>248.93142389959831</v>
      </c>
      <c r="AB38">
        <v>190.56399999999999</v>
      </c>
      <c r="AC38">
        <v>2.0310000000000001</v>
      </c>
      <c r="AD38">
        <v>2.2278625717207561</v>
      </c>
      <c r="AE38">
        <v>2.4608515592285038</v>
      </c>
      <c r="AF38">
        <v>2.7409110642087886</v>
      </c>
      <c r="AG38">
        <v>3.083918057345771</v>
      </c>
      <c r="AH38">
        <v>3.5138158241170392</v>
      </c>
      <c r="AI38">
        <v>4.0684834968583505</v>
      </c>
      <c r="AJ38">
        <v>4.8116036844430079</v>
      </c>
      <c r="AK38">
        <v>5.8591471987763608</v>
      </c>
      <c r="AL38">
        <v>7.4469044354159646</v>
      </c>
      <c r="AM38">
        <v>10.139127999999999</v>
      </c>
    </row>
    <row r="39" spans="2:39" hidden="1">
      <c r="B39" t="s">
        <v>213</v>
      </c>
      <c r="C39" s="11" t="s">
        <v>1496</v>
      </c>
      <c r="D39" t="s">
        <v>168</v>
      </c>
      <c r="E39">
        <v>0.94771676900000001</v>
      </c>
      <c r="F39">
        <v>1.528532478</v>
      </c>
      <c r="G39">
        <v>1.0028522870000001</v>
      </c>
      <c r="H39">
        <v>1.1418953549999999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R39">
        <v>594.54999999999995</v>
      </c>
      <c r="S39">
        <v>572.16295191947415</v>
      </c>
      <c r="T39">
        <v>547.41199234948397</v>
      </c>
      <c r="U39">
        <v>519.72780892592402</v>
      </c>
      <c r="V39">
        <v>488.51691467887167</v>
      </c>
      <c r="W39">
        <v>453.16035111258668</v>
      </c>
      <c r="X39">
        <v>413.01230688730891</v>
      </c>
      <c r="Y39">
        <v>367.39864562492329</v>
      </c>
      <c r="Z39">
        <v>315.61533578602541</v>
      </c>
      <c r="AA39">
        <v>256.92677493341625</v>
      </c>
      <c r="AB39">
        <v>190.56399999999999</v>
      </c>
      <c r="AC39">
        <v>1.8099999999999998</v>
      </c>
      <c r="AD39">
        <v>1.9887376859957067</v>
      </c>
      <c r="AE39">
        <v>2.2023018090993212</v>
      </c>
      <c r="AF39">
        <v>2.4616991453477155</v>
      </c>
      <c r="AG39">
        <v>2.7830999846835942</v>
      </c>
      <c r="AH39">
        <v>3.1912660122006065</v>
      </c>
      <c r="AI39">
        <v>3.7261267428153175</v>
      </c>
      <c r="AJ39">
        <v>4.4564883104183286</v>
      </c>
      <c r="AK39">
        <v>5.5118901274075531</v>
      </c>
      <c r="AL39">
        <v>7.1685724445172809</v>
      </c>
      <c r="AM39">
        <v>10.139127999999999</v>
      </c>
    </row>
    <row r="40" spans="2:39" hidden="1">
      <c r="B40" t="s">
        <v>214</v>
      </c>
      <c r="C40" s="11" t="s">
        <v>1497</v>
      </c>
      <c r="D40" t="s">
        <v>168</v>
      </c>
      <c r="E40">
        <v>0.93777782300000001</v>
      </c>
      <c r="F40">
        <v>1.568231489</v>
      </c>
      <c r="G40">
        <v>1.0330862919999999</v>
      </c>
      <c r="H40">
        <v>1.146089637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R40">
        <v>617.70000000000005</v>
      </c>
      <c r="S40">
        <v>594.17324042551741</v>
      </c>
      <c r="T40">
        <v>568.40197839377777</v>
      </c>
      <c r="U40">
        <v>539.69530708811374</v>
      </c>
      <c r="V40">
        <v>507.3273093597366</v>
      </c>
      <c r="W40">
        <v>470.53481167527525</v>
      </c>
      <c r="X40">
        <v>428.51496290501478</v>
      </c>
      <c r="Y40">
        <v>380.42262180545293</v>
      </c>
      <c r="Z40">
        <v>325.36753532608395</v>
      </c>
      <c r="AA40">
        <v>262.41128793677706</v>
      </c>
      <c r="AB40">
        <v>190.56399999999999</v>
      </c>
      <c r="AC40">
        <v>1.6400000000000001</v>
      </c>
      <c r="AD40">
        <v>1.8038203361511476</v>
      </c>
      <c r="AE40">
        <v>2.0030148264019312</v>
      </c>
      <c r="AF40">
        <v>2.2490257992417475</v>
      </c>
      <c r="AG40">
        <v>2.5587507295572856</v>
      </c>
      <c r="AH40">
        <v>2.9581870469681792</v>
      </c>
      <c r="AI40">
        <v>3.4894403429695644</v>
      </c>
      <c r="AJ40">
        <v>4.2253696505531835</v>
      </c>
      <c r="AK40">
        <v>5.3037233325328446</v>
      </c>
      <c r="AL40">
        <v>7.01962947985868</v>
      </c>
      <c r="AM40">
        <v>10.139127999999999</v>
      </c>
    </row>
    <row r="41" spans="2:39">
      <c r="B41" t="s">
        <v>215</v>
      </c>
      <c r="C41" s="11" t="s">
        <v>1498</v>
      </c>
      <c r="D41" t="s">
        <v>176</v>
      </c>
      <c r="E41">
        <v>0.90400000000000003</v>
      </c>
      <c r="F41">
        <v>1.716</v>
      </c>
      <c r="G41">
        <v>1</v>
      </c>
      <c r="H41">
        <v>0.97799999999999998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</row>
    <row r="42" spans="2:39" hidden="1">
      <c r="B42" t="s">
        <v>216</v>
      </c>
      <c r="C42" s="11" t="s">
        <v>1499</v>
      </c>
      <c r="D42" t="s">
        <v>217</v>
      </c>
      <c r="E42">
        <v>0.93145</v>
      </c>
      <c r="F42">
        <v>0.73499999999999999</v>
      </c>
      <c r="G42">
        <v>0.78125</v>
      </c>
      <c r="H42">
        <v>1.232</v>
      </c>
      <c r="I42">
        <v>1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</row>
    <row r="43" spans="2:39" hidden="1">
      <c r="B43" t="s">
        <v>218</v>
      </c>
      <c r="C43" s="11" t="s">
        <v>1500</v>
      </c>
      <c r="D43" t="s">
        <v>219</v>
      </c>
      <c r="E43">
        <v>1.1679999999999999</v>
      </c>
      <c r="F43">
        <v>1.371</v>
      </c>
      <c r="G43">
        <v>1.0097</v>
      </c>
      <c r="H43">
        <v>0.89900000000000002</v>
      </c>
      <c r="I43">
        <v>-3.25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</row>
    <row r="44" spans="2:39" hidden="1">
      <c r="B44" t="s">
        <v>220</v>
      </c>
      <c r="C44" s="11" t="s">
        <v>1501</v>
      </c>
      <c r="D44" t="s">
        <v>168</v>
      </c>
      <c r="E44">
        <v>1.4432747592540001</v>
      </c>
      <c r="F44">
        <v>1.4718315799999999</v>
      </c>
      <c r="G44">
        <v>1.031458392792</v>
      </c>
      <c r="H44">
        <v>0.93262986699999995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R44">
        <v>126.19199999999999</v>
      </c>
      <c r="S44">
        <v>111.1011575283906</v>
      </c>
      <c r="T44">
        <v>95.27699852960157</v>
      </c>
      <c r="U44">
        <v>79.543767250258895</v>
      </c>
      <c r="V44">
        <v>64.476564568027442</v>
      </c>
      <c r="W44">
        <v>50.488869581510563</v>
      </c>
      <c r="X44">
        <v>37.885588617455987</v>
      </c>
      <c r="Y44">
        <v>26.89649670379854</v>
      </c>
      <c r="Z44">
        <v>17.69803592170571</v>
      </c>
      <c r="AA44">
        <v>10.427940593327108</v>
      </c>
      <c r="AB44">
        <v>5.1952999999999996</v>
      </c>
      <c r="AC44">
        <v>11.1839</v>
      </c>
      <c r="AD44">
        <v>11.704027751081259</v>
      </c>
      <c r="AE44">
        <v>12.269649618481656</v>
      </c>
      <c r="AF44">
        <v>12.877866018029444</v>
      </c>
      <c r="AG44">
        <v>13.523376448276624</v>
      </c>
      <c r="AH44">
        <v>14.197667562356756</v>
      </c>
      <c r="AI44">
        <v>14.888150969367246</v>
      </c>
      <c r="AJ44">
        <v>15.577374994623392</v>
      </c>
      <c r="AK44">
        <v>16.242517364803327</v>
      </c>
      <c r="AL44">
        <v>16.855448735608746</v>
      </c>
      <c r="AM44">
        <v>17.383700000000001</v>
      </c>
    </row>
    <row r="45" spans="2:39" hidden="1">
      <c r="B45" t="s">
        <v>221</v>
      </c>
      <c r="C45" s="11" t="s">
        <v>1502</v>
      </c>
      <c r="D45" t="s">
        <v>168</v>
      </c>
      <c r="E45">
        <v>1</v>
      </c>
      <c r="F45">
        <v>1</v>
      </c>
      <c r="G45">
        <v>1</v>
      </c>
      <c r="H45">
        <v>1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R45">
        <v>132.86000000000001</v>
      </c>
      <c r="S45">
        <v>112.39761431057741</v>
      </c>
      <c r="T45">
        <v>93.645432107693182</v>
      </c>
      <c r="U45">
        <v>76.603453391347259</v>
      </c>
      <c r="V45">
        <v>61.271678161539732</v>
      </c>
      <c r="W45">
        <v>47.650106418270553</v>
      </c>
      <c r="X45">
        <v>35.738738161539729</v>
      </c>
      <c r="Y45">
        <v>25.537573391347266</v>
      </c>
      <c r="Z45">
        <v>17.046612107693146</v>
      </c>
      <c r="AA45">
        <v>10.265854310577396</v>
      </c>
      <c r="AB45">
        <v>5.1952999999999996</v>
      </c>
      <c r="AC45">
        <v>10.85</v>
      </c>
      <c r="AD45">
        <v>11.304812999425144</v>
      </c>
      <c r="AE45">
        <v>11.791882158331088</v>
      </c>
      <c r="AF45">
        <v>12.314586185029277</v>
      </c>
      <c r="AG45">
        <v>12.876785694539377</v>
      </c>
      <c r="AH45">
        <v>13.482911935005838</v>
      </c>
      <c r="AI45">
        <v>14.138075842826774</v>
      </c>
      <c r="AJ45">
        <v>14.848203074334739</v>
      </c>
      <c r="AK45">
        <v>15.620202529097332</v>
      </c>
      <c r="AL45">
        <v>16.462178471543094</v>
      </c>
      <c r="AM45">
        <v>17.383700000000001</v>
      </c>
    </row>
    <row r="46" spans="2:39" hidden="1">
      <c r="B46" t="s">
        <v>222</v>
      </c>
      <c r="C46" s="11" t="s">
        <v>1503</v>
      </c>
      <c r="D46" t="s">
        <v>168</v>
      </c>
      <c r="E46">
        <v>1</v>
      </c>
      <c r="F46">
        <v>1</v>
      </c>
      <c r="G46">
        <v>1</v>
      </c>
      <c r="H46">
        <v>1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R46">
        <v>150.68700000000001</v>
      </c>
      <c r="S46">
        <v>127.14477079812119</v>
      </c>
      <c r="T46">
        <v>105.6009991966599</v>
      </c>
      <c r="U46">
        <v>86.055685195616078</v>
      </c>
      <c r="V46">
        <v>68.508828794989796</v>
      </c>
      <c r="W46">
        <v>52.960429994781045</v>
      </c>
      <c r="X46">
        <v>39.410488794989803</v>
      </c>
      <c r="Y46">
        <v>27.859005195616078</v>
      </c>
      <c r="Z46">
        <v>18.305979196659862</v>
      </c>
      <c r="AA46">
        <v>10.751410798121171</v>
      </c>
      <c r="AB46">
        <v>5.1952999999999996</v>
      </c>
      <c r="AC46">
        <v>13.407429649999999</v>
      </c>
      <c r="AD46">
        <v>13.733793563151943</v>
      </c>
      <c r="AE46">
        <v>14.073520249870704</v>
      </c>
      <c r="AF46">
        <v>14.427409384306824</v>
      </c>
      <c r="AG46">
        <v>14.796324932740138</v>
      </c>
      <c r="AH46">
        <v>15.181201724463357</v>
      </c>
      <c r="AI46">
        <v>15.583052844579413</v>
      </c>
      <c r="AJ46">
        <v>16.002977971177831</v>
      </c>
      <c r="AK46">
        <v>16.442172800661524</v>
      </c>
      <c r="AL46">
        <v>16.901939730564258</v>
      </c>
      <c r="AM46">
        <v>17.383700000000001</v>
      </c>
    </row>
    <row r="47" spans="2:39" hidden="1">
      <c r="B47" t="s">
        <v>223</v>
      </c>
      <c r="C47" s="11" t="s">
        <v>1504</v>
      </c>
      <c r="D47" t="s">
        <v>168</v>
      </c>
      <c r="E47">
        <v>1</v>
      </c>
      <c r="F47">
        <v>1</v>
      </c>
      <c r="G47">
        <v>1</v>
      </c>
      <c r="H47">
        <v>1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R47">
        <v>154.59899999999999</v>
      </c>
      <c r="S47">
        <v>130.3784464789434</v>
      </c>
      <c r="T47">
        <v>108.22015596256605</v>
      </c>
      <c r="U47">
        <v>88.124128450867914</v>
      </c>
      <c r="V47">
        <v>70.090363943849042</v>
      </c>
      <c r="W47">
        <v>54.118862441509435</v>
      </c>
      <c r="X47">
        <v>40.20962394384906</v>
      </c>
      <c r="Y47">
        <v>28.36264845086793</v>
      </c>
      <c r="Z47">
        <v>18.577935962566034</v>
      </c>
      <c r="AA47">
        <v>10.855486478943394</v>
      </c>
      <c r="AB47">
        <v>5.1952999999999996</v>
      </c>
      <c r="AC47">
        <v>13.342188999999999</v>
      </c>
      <c r="AD47">
        <v>13.672662908407888</v>
      </c>
      <c r="AE47">
        <v>14.016907341725986</v>
      </c>
      <c r="AF47">
        <v>14.375761175675953</v>
      </c>
      <c r="AG47">
        <v>14.750131963321708</v>
      </c>
      <c r="AH47">
        <v>15.141003085088897</v>
      </c>
      <c r="AI47">
        <v>15.549441810175125</v>
      </c>
      <c r="AJ47">
        <v>15.976608407791035</v>
      </c>
      <c r="AK47">
        <v>16.423766471236789</v>
      </c>
      <c r="AL47">
        <v>16.892294647397641</v>
      </c>
      <c r="AM47">
        <v>17.383700000000001</v>
      </c>
    </row>
    <row r="48" spans="2:39" hidden="1">
      <c r="B48" t="s">
        <v>224</v>
      </c>
      <c r="C48" s="11" t="s">
        <v>1505</v>
      </c>
      <c r="D48" t="s">
        <v>170</v>
      </c>
      <c r="E48">
        <v>0.79</v>
      </c>
      <c r="F48">
        <v>2.0129999999999999</v>
      </c>
      <c r="G48">
        <v>1.052</v>
      </c>
      <c r="H48">
        <v>2.016</v>
      </c>
      <c r="I48">
        <v>1.41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</row>
    <row r="49" spans="2:39" hidden="1">
      <c r="B49" t="s">
        <v>225</v>
      </c>
      <c r="C49" s="11" t="s">
        <v>1506</v>
      </c>
      <c r="D49" t="s">
        <v>168</v>
      </c>
      <c r="E49">
        <v>1</v>
      </c>
      <c r="F49">
        <v>1</v>
      </c>
      <c r="G49">
        <v>1</v>
      </c>
      <c r="H49">
        <v>1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R49">
        <v>305.322</v>
      </c>
      <c r="S49">
        <v>254.5317447621037</v>
      </c>
      <c r="T49">
        <v>208.35873068818435</v>
      </c>
      <c r="U49">
        <v>166.80295777824193</v>
      </c>
      <c r="V49">
        <v>129.8644260322765</v>
      </c>
      <c r="W49">
        <v>97.543135450288005</v>
      </c>
      <c r="X49">
        <v>69.839086032276498</v>
      </c>
      <c r="Y49">
        <v>46.75227777824194</v>
      </c>
      <c r="Z49">
        <v>28.28271068818432</v>
      </c>
      <c r="AA49">
        <v>14.430384762103682</v>
      </c>
      <c r="AB49">
        <v>5.1952999999999996</v>
      </c>
      <c r="AC49">
        <v>6.8568866850000001</v>
      </c>
      <c r="AD49">
        <v>7.3640728068892782</v>
      </c>
      <c r="AE49">
        <v>7.9352726356646279</v>
      </c>
      <c r="AF49">
        <v>8.5826327862609659</v>
      </c>
      <c r="AG49">
        <v>9.321517646649923</v>
      </c>
      <c r="AH49">
        <v>10.17164365036089</v>
      </c>
      <c r="AI49">
        <v>11.158728806395718</v>
      </c>
      <c r="AJ49">
        <v>12.316952771908563</v>
      </c>
      <c r="AK49">
        <v>13.692733365559443</v>
      </c>
      <c r="AL49">
        <v>15.350721564007197</v>
      </c>
      <c r="AM49">
        <v>17.383700000000001</v>
      </c>
    </row>
    <row r="50" spans="2:39" hidden="1">
      <c r="B50" t="s">
        <v>226</v>
      </c>
      <c r="C50" s="11" t="s">
        <v>1507</v>
      </c>
      <c r="D50" t="s">
        <v>168</v>
      </c>
      <c r="E50">
        <v>1.3014434061539999</v>
      </c>
      <c r="F50">
        <v>3.2074569479999999</v>
      </c>
      <c r="G50">
        <v>1.1811290152639999</v>
      </c>
      <c r="H50">
        <v>0.86414154899999995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R50">
        <v>304.12819999999999</v>
      </c>
      <c r="S50">
        <v>274.32522432179024</v>
      </c>
      <c r="T50">
        <v>241.47723815461268</v>
      </c>
      <c r="U50">
        <v>207.17456799583385</v>
      </c>
      <c r="V50">
        <v>172.66208589068862</v>
      </c>
      <c r="W50">
        <v>138.9281784505838</v>
      </c>
      <c r="X50">
        <v>106.76756685813072</v>
      </c>
      <c r="Y50">
        <v>76.826525557974435</v>
      </c>
      <c r="Z50">
        <v>49.635996532035094</v>
      </c>
      <c r="AA50">
        <v>25.636217924892776</v>
      </c>
      <c r="AB50">
        <v>5.1952999999999996</v>
      </c>
      <c r="AC50">
        <v>10.624906299999999</v>
      </c>
      <c r="AD50">
        <v>11.117586438697083</v>
      </c>
      <c r="AE50">
        <v>11.759821084437272</v>
      </c>
      <c r="AF50">
        <v>12.534221256137556</v>
      </c>
      <c r="AG50">
        <v>13.417100060596439</v>
      </c>
      <c r="AH50">
        <v>14.37078921022527</v>
      </c>
      <c r="AI50">
        <v>15.336340240507614</v>
      </c>
      <c r="AJ50">
        <v>16.2290561079861</v>
      </c>
      <c r="AK50">
        <v>16.941393058532871</v>
      </c>
      <c r="AL50">
        <v>17.358055497810394</v>
      </c>
      <c r="AM50">
        <v>17.383700000000001</v>
      </c>
    </row>
    <row r="51" spans="2:39" hidden="1">
      <c r="B51" t="s">
        <v>227</v>
      </c>
      <c r="C51" s="11" t="s">
        <v>1508</v>
      </c>
      <c r="D51" t="s">
        <v>168</v>
      </c>
      <c r="E51">
        <v>1</v>
      </c>
      <c r="F51">
        <v>1</v>
      </c>
      <c r="G51">
        <v>1</v>
      </c>
      <c r="H51">
        <v>1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R51">
        <v>373.1</v>
      </c>
      <c r="S51">
        <v>310.18779194675471</v>
      </c>
      <c r="T51">
        <v>253.08041457200838</v>
      </c>
      <c r="U51">
        <v>201.77786787576093</v>
      </c>
      <c r="V51">
        <v>156.28015185801249</v>
      </c>
      <c r="W51">
        <v>116.58726651876303</v>
      </c>
      <c r="X51">
        <v>82.699211858012518</v>
      </c>
      <c r="Y51">
        <v>54.61598787576095</v>
      </c>
      <c r="Z51">
        <v>32.337594572008328</v>
      </c>
      <c r="AA51">
        <v>15.864031946754688</v>
      </c>
      <c r="AB51">
        <v>5.1952999999999996</v>
      </c>
      <c r="AC51">
        <v>10.19</v>
      </c>
      <c r="AD51">
        <v>10.666582290953196</v>
      </c>
      <c r="AE51">
        <v>11.180932273027782</v>
      </c>
      <c r="AF51">
        <v>11.737482804065412</v>
      </c>
      <c r="AG51">
        <v>12.341377881546297</v>
      </c>
      <c r="AH51">
        <v>12.998620558703392</v>
      </c>
      <c r="AI51">
        <v>13.716259334913167</v>
      </c>
      <c r="AJ51">
        <v>14.502625220649971</v>
      </c>
      <c r="AK51">
        <v>15.367636308074054</v>
      </c>
      <c r="AL51">
        <v>16.32319338493329</v>
      </c>
      <c r="AM51">
        <v>17.383700000000001</v>
      </c>
    </row>
    <row r="52" spans="2:39" hidden="1">
      <c r="B52" t="s">
        <v>228</v>
      </c>
      <c r="C52" s="11" t="s">
        <v>1509</v>
      </c>
      <c r="D52" t="s">
        <v>168</v>
      </c>
      <c r="E52">
        <v>1</v>
      </c>
      <c r="F52">
        <v>1</v>
      </c>
      <c r="G52">
        <v>1</v>
      </c>
      <c r="H52">
        <v>1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R52">
        <v>369.89</v>
      </c>
      <c r="S52">
        <v>307.5535272646494</v>
      </c>
      <c r="T52">
        <v>250.9652773593767</v>
      </c>
      <c r="U52">
        <v>200.12525028418185</v>
      </c>
      <c r="V52">
        <v>155.03344603906498</v>
      </c>
      <c r="W52">
        <v>115.68986462402604</v>
      </c>
      <c r="X52">
        <v>82.09450603906501</v>
      </c>
      <c r="Y52">
        <v>54.247370284181891</v>
      </c>
      <c r="Z52">
        <v>32.148457359376664</v>
      </c>
      <c r="AA52">
        <v>15.797767264649373</v>
      </c>
      <c r="AB52">
        <v>5.1952999999999996</v>
      </c>
      <c r="AC52">
        <v>5</v>
      </c>
      <c r="AD52">
        <v>5.4596096736674538</v>
      </c>
      <c r="AE52">
        <v>5.9915420771991093</v>
      </c>
      <c r="AF52">
        <v>6.6130572436561144</v>
      </c>
      <c r="AG52">
        <v>7.347245644612789</v>
      </c>
      <c r="AH52">
        <v>8.2256967743831293</v>
      </c>
      <c r="AI52">
        <v>9.2927772057731808</v>
      </c>
      <c r="AJ52">
        <v>10.612776240070461</v>
      </c>
      <c r="AK52">
        <v>12.282442275198468</v>
      </c>
      <c r="AL52">
        <v>14.454334528408586</v>
      </c>
      <c r="AM52">
        <v>17.383700000000001</v>
      </c>
    </row>
    <row r="53" spans="2:39" hidden="1">
      <c r="B53" t="s">
        <v>1181</v>
      </c>
      <c r="C53" s="11" t="s">
        <v>1510</v>
      </c>
      <c r="D53" t="s">
        <v>168</v>
      </c>
      <c r="E53">
        <v>1</v>
      </c>
      <c r="F53">
        <v>1</v>
      </c>
      <c r="G53">
        <v>1</v>
      </c>
      <c r="H53">
        <v>1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R53">
        <v>407.81</v>
      </c>
      <c r="S53">
        <v>338.6633247211447</v>
      </c>
      <c r="T53">
        <v>275.93558394870172</v>
      </c>
      <c r="U53">
        <v>219.62677768267093</v>
      </c>
      <c r="V53">
        <v>169.73690592305252</v>
      </c>
      <c r="W53">
        <v>126.26596866984637</v>
      </c>
      <c r="X53">
        <v>89.213965923052541</v>
      </c>
      <c r="Y53">
        <v>58.580897682670965</v>
      </c>
      <c r="Z53">
        <v>34.366763948701674</v>
      </c>
      <c r="AA53">
        <v>16.571564721144689</v>
      </c>
      <c r="AB53">
        <v>5.1952999999999996</v>
      </c>
      <c r="AC53">
        <v>3.8797567879999999</v>
      </c>
      <c r="AD53">
        <v>4.2844989095049115</v>
      </c>
      <c r="AE53">
        <v>4.7616252074821919</v>
      </c>
      <c r="AF53">
        <v>5.3308730350430915</v>
      </c>
      <c r="AG53">
        <v>6.0196672265536035</v>
      </c>
      <c r="AH53">
        <v>6.867228947658603</v>
      </c>
      <c r="AI53">
        <v>7.9316263844346953</v>
      </c>
      <c r="AJ53">
        <v>9.3025549172617676</v>
      </c>
      <c r="AK53">
        <v>11.126125000046358</v>
      </c>
      <c r="AL53">
        <v>13.657255643736855</v>
      </c>
      <c r="AM53">
        <v>17.383700000000001</v>
      </c>
    </row>
    <row r="54" spans="2:39" hidden="1">
      <c r="B54" t="s">
        <v>229</v>
      </c>
      <c r="C54" s="11" t="s">
        <v>1511</v>
      </c>
      <c r="D54" t="s">
        <v>168</v>
      </c>
      <c r="E54">
        <v>1</v>
      </c>
      <c r="F54">
        <v>1</v>
      </c>
      <c r="G54">
        <v>1</v>
      </c>
      <c r="H54">
        <v>1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R54">
        <v>425.125</v>
      </c>
      <c r="S54">
        <v>352.86253642320787</v>
      </c>
      <c r="T54">
        <v>287.32662697459159</v>
      </c>
      <c r="U54">
        <v>228.51727165415144</v>
      </c>
      <c r="V54">
        <v>176.43447046188734</v>
      </c>
      <c r="W54">
        <v>131.07822339779935</v>
      </c>
      <c r="X54">
        <v>92.448530461887373</v>
      </c>
      <c r="Y54">
        <v>60.545391654151459</v>
      </c>
      <c r="Z54">
        <v>35.368806974591578</v>
      </c>
      <c r="AA54">
        <v>16.91877642320776</v>
      </c>
      <c r="AB54">
        <v>5.1952999999999996</v>
      </c>
      <c r="AC54">
        <v>3.9227696129999998</v>
      </c>
      <c r="AD54">
        <v>4.3300173873249133</v>
      </c>
      <c r="AE54">
        <v>4.8097415522362734</v>
      </c>
      <c r="AF54">
        <v>5.3816040811689652</v>
      </c>
      <c r="AG54">
        <v>6.0728833593511151</v>
      </c>
      <c r="AH54">
        <v>6.9225207785212826</v>
      </c>
      <c r="AI54">
        <v>7.9880453539749006</v>
      </c>
      <c r="AJ54">
        <v>9.3580830169346001</v>
      </c>
      <c r="AK54">
        <v>11.176516946688869</v>
      </c>
      <c r="AL54">
        <v>13.693277888250163</v>
      </c>
      <c r="AM54">
        <v>17.383700000000001</v>
      </c>
    </row>
    <row r="55" spans="2:39" hidden="1">
      <c r="B55" t="s">
        <v>230</v>
      </c>
      <c r="C55" s="11" t="s">
        <v>1512</v>
      </c>
      <c r="D55" t="s">
        <v>168</v>
      </c>
      <c r="E55">
        <v>1</v>
      </c>
      <c r="F55">
        <v>1</v>
      </c>
      <c r="G55">
        <v>1</v>
      </c>
      <c r="H55">
        <v>1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R55">
        <v>460.35</v>
      </c>
      <c r="S55">
        <v>381.73827447393671</v>
      </c>
      <c r="T55">
        <v>310.48127239810964</v>
      </c>
      <c r="U55">
        <v>246.5789937725188</v>
      </c>
      <c r="V55">
        <v>190.03143859716437</v>
      </c>
      <c r="W55">
        <v>140.83860687204623</v>
      </c>
      <c r="X55">
        <v>99.00049859716438</v>
      </c>
      <c r="Y55">
        <v>64.51711377251884</v>
      </c>
      <c r="Z55">
        <v>37.388452398109571</v>
      </c>
      <c r="AA55">
        <v>17.614514473936637</v>
      </c>
      <c r="AB55">
        <v>5.1952999999999996</v>
      </c>
      <c r="AC55">
        <v>3.2709999999999999</v>
      </c>
      <c r="AD55">
        <v>3.6366272028392403</v>
      </c>
      <c r="AE55">
        <v>4.0723532025026392</v>
      </c>
      <c r="AF55">
        <v>4.5987265465114575</v>
      </c>
      <c r="AG55">
        <v>5.2449448531266079</v>
      </c>
      <c r="AH55">
        <v>6.0538887883768329</v>
      </c>
      <c r="AI55">
        <v>7.0911211696407284</v>
      </c>
      <c r="AJ55">
        <v>8.4620408465271009</v>
      </c>
      <c r="AK55">
        <v>10.347337751135235</v>
      </c>
      <c r="AL55">
        <v>13.08443825073741</v>
      </c>
      <c r="AM55">
        <v>17.383700000000001</v>
      </c>
    </row>
    <row r="56" spans="2:39" hidden="1">
      <c r="B56" t="s">
        <v>231</v>
      </c>
      <c r="C56" s="11" t="s">
        <v>1513</v>
      </c>
      <c r="D56" t="s">
        <v>168</v>
      </c>
      <c r="E56">
        <v>1</v>
      </c>
      <c r="F56">
        <v>1</v>
      </c>
      <c r="G56">
        <v>1</v>
      </c>
      <c r="H56">
        <v>1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R56">
        <v>469.65899999999999</v>
      </c>
      <c r="S56">
        <v>389.36712245695043</v>
      </c>
      <c r="T56">
        <v>316.59646881235631</v>
      </c>
      <c r="U56">
        <v>251.3470390662176</v>
      </c>
      <c r="V56">
        <v>193.61883321853443</v>
      </c>
      <c r="W56">
        <v>143.41185126930671</v>
      </c>
      <c r="X56">
        <v>100.72609321853446</v>
      </c>
      <c r="Y56">
        <v>65.561559066217654</v>
      </c>
      <c r="Z56">
        <v>37.918248812356296</v>
      </c>
      <c r="AA56">
        <v>17.79616245695042</v>
      </c>
      <c r="AB56">
        <v>5.1952999999999996</v>
      </c>
      <c r="AC56">
        <v>3.2599099999999996</v>
      </c>
      <c r="AD56">
        <v>3.6247595020552268</v>
      </c>
      <c r="AE56">
        <v>4.0596478625231809</v>
      </c>
      <c r="AF56">
        <v>4.5851332615099016</v>
      </c>
      <c r="AG56">
        <v>5.2304393086308183</v>
      </c>
      <c r="AH56">
        <v>6.03850644154012</v>
      </c>
      <c r="AI56">
        <v>7.0750291886234704</v>
      </c>
      <c r="AJ56">
        <v>8.4456993920112264</v>
      </c>
      <c r="AK56">
        <v>10.331889830907071</v>
      </c>
      <c r="AL56">
        <v>13.072759023709049</v>
      </c>
      <c r="AM56">
        <v>17.383700000000001</v>
      </c>
    </row>
    <row r="57" spans="2:39" hidden="1">
      <c r="B57" t="s">
        <v>232</v>
      </c>
      <c r="C57" s="11" t="s">
        <v>1514</v>
      </c>
      <c r="D57" t="s">
        <v>168</v>
      </c>
      <c r="E57">
        <v>1</v>
      </c>
      <c r="F57">
        <v>1</v>
      </c>
      <c r="G57">
        <v>1</v>
      </c>
      <c r="H57">
        <v>1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R57">
        <v>507.82</v>
      </c>
      <c r="S57">
        <v>420.63170234930317</v>
      </c>
      <c r="T57">
        <v>341.64914417653898</v>
      </c>
      <c r="U57">
        <v>270.87232548170732</v>
      </c>
      <c r="V57">
        <v>208.30124626480841</v>
      </c>
      <c r="W57">
        <v>153.93590652584211</v>
      </c>
      <c r="X57">
        <v>107.77630626480843</v>
      </c>
      <c r="Y57">
        <v>69.822445481707376</v>
      </c>
      <c r="Z57">
        <v>40.07432417653893</v>
      </c>
      <c r="AA57">
        <v>18.531942349303151</v>
      </c>
      <c r="AB57">
        <v>5.1952999999999996</v>
      </c>
      <c r="AC57">
        <v>2.706</v>
      </c>
      <c r="AD57">
        <v>3.0288710182208023</v>
      </c>
      <c r="AE57">
        <v>3.4178329647898238</v>
      </c>
      <c r="AF57">
        <v>3.8936223978349673</v>
      </c>
      <c r="AG57">
        <v>4.4863649742224103</v>
      </c>
      <c r="AH57">
        <v>5.2414988529933302</v>
      </c>
      <c r="AI57">
        <v>6.2308089602612551</v>
      </c>
      <c r="AJ57">
        <v>7.5745727530811084</v>
      </c>
      <c r="AK57">
        <v>9.4904885376066126</v>
      </c>
      <c r="AL57">
        <v>12.416680640616521</v>
      </c>
      <c r="AM57">
        <v>17.383700000000001</v>
      </c>
    </row>
    <row r="58" spans="2:39" hidden="1">
      <c r="B58" t="s">
        <v>233</v>
      </c>
      <c r="C58" s="11" t="s">
        <v>1515</v>
      </c>
      <c r="D58" t="s">
        <v>168</v>
      </c>
      <c r="E58">
        <v>1</v>
      </c>
      <c r="F58">
        <v>1</v>
      </c>
      <c r="G58">
        <v>1</v>
      </c>
      <c r="H58">
        <v>1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R58">
        <v>540.20000000000005</v>
      </c>
      <c r="S58">
        <v>447.1497085727903</v>
      </c>
      <c r="T58">
        <v>362.88826635162718</v>
      </c>
      <c r="U58">
        <v>287.41567333651051</v>
      </c>
      <c r="V58">
        <v>220.73192952744063</v>
      </c>
      <c r="W58">
        <v>162.83703492441731</v>
      </c>
      <c r="X58">
        <v>113.73098952744064</v>
      </c>
      <c r="Y58">
        <v>73.413793336510565</v>
      </c>
      <c r="Z58">
        <v>41.885446351627067</v>
      </c>
      <c r="AA58">
        <v>19.145948572790228</v>
      </c>
      <c r="AB58">
        <v>5.1952999999999996</v>
      </c>
      <c r="AC58">
        <v>2.33</v>
      </c>
      <c r="AD58">
        <v>2.6206900442119205</v>
      </c>
      <c r="AE58">
        <v>2.9735959284067084</v>
      </c>
      <c r="AF58">
        <v>3.409160028486987</v>
      </c>
      <c r="AG58">
        <v>3.957550676065916</v>
      </c>
      <c r="AH58">
        <v>4.6651445171217736</v>
      </c>
      <c r="AI58">
        <v>5.6069632837316012</v>
      </c>
      <c r="AJ58">
        <v>6.9125876154144059</v>
      </c>
      <c r="AK58">
        <v>8.8263176128427023</v>
      </c>
      <c r="AL58">
        <v>11.869242696241233</v>
      </c>
      <c r="AM58">
        <v>17.383700000000001</v>
      </c>
    </row>
    <row r="59" spans="2:39" hidden="1">
      <c r="B59" t="s">
        <v>234</v>
      </c>
      <c r="C59" s="11" t="s">
        <v>1516</v>
      </c>
      <c r="D59" t="s">
        <v>168</v>
      </c>
      <c r="E59">
        <v>1</v>
      </c>
      <c r="F59">
        <v>1</v>
      </c>
      <c r="G59">
        <v>1</v>
      </c>
      <c r="H59">
        <v>1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R59">
        <v>647.096</v>
      </c>
      <c r="S59">
        <v>534.63638844293303</v>
      </c>
      <c r="T59">
        <v>432.90334167632534</v>
      </c>
      <c r="U59">
        <v>341.89685970017689</v>
      </c>
      <c r="V59">
        <v>261.6169425144879</v>
      </c>
      <c r="W59">
        <v>192.06359011925824</v>
      </c>
      <c r="X59">
        <v>133.23680251448792</v>
      </c>
      <c r="Y59">
        <v>85.136579700176938</v>
      </c>
      <c r="Z59">
        <v>47.762921676325263</v>
      </c>
      <c r="AA59">
        <v>21.115828442932958</v>
      </c>
      <c r="AB59">
        <v>5.1952999999999996</v>
      </c>
      <c r="AC59">
        <v>17.873727995599999</v>
      </c>
      <c r="AD59">
        <v>17.823694401389041</v>
      </c>
      <c r="AE59">
        <v>17.773893974575174</v>
      </c>
      <c r="AF59">
        <v>17.724325153139564</v>
      </c>
      <c r="AG59">
        <v>17.674986388842346</v>
      </c>
      <c r="AH59">
        <v>17.62587614707148</v>
      </c>
      <c r="AI59">
        <v>17.576992906693512</v>
      </c>
      <c r="AJ59">
        <v>17.528335159906334</v>
      </c>
      <c r="AK59">
        <v>17.479901412093856</v>
      </c>
      <c r="AL59">
        <v>17.431690181682573</v>
      </c>
      <c r="AM59">
        <v>17.383700000000001</v>
      </c>
    </row>
    <row r="60" spans="2:39" hidden="1">
      <c r="B60" t="s">
        <v>235</v>
      </c>
      <c r="C60" s="11" t="s">
        <v>1517</v>
      </c>
      <c r="D60" t="s">
        <v>168</v>
      </c>
      <c r="E60">
        <v>1</v>
      </c>
      <c r="F60">
        <v>1</v>
      </c>
      <c r="G60">
        <v>1</v>
      </c>
      <c r="H60">
        <v>1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R60">
        <v>568.74</v>
      </c>
      <c r="S60">
        <v>470.51576445255051</v>
      </c>
      <c r="T60">
        <v>381.59592124897858</v>
      </c>
      <c r="U60">
        <v>301.98047038928433</v>
      </c>
      <c r="V60">
        <v>231.66941187346779</v>
      </c>
      <c r="W60">
        <v>170.66274570152896</v>
      </c>
      <c r="X60">
        <v>118.96047187346782</v>
      </c>
      <c r="Y60">
        <v>76.562590389284338</v>
      </c>
      <c r="Z60">
        <v>43.469101248978532</v>
      </c>
      <c r="AA60">
        <v>19.680004452550428</v>
      </c>
      <c r="AB60">
        <v>5.1952999999999996</v>
      </c>
      <c r="AC60">
        <v>2.0310000000000001</v>
      </c>
      <c r="AD60">
        <v>2.2938078005702955</v>
      </c>
      <c r="AE60">
        <v>2.6149454480280108</v>
      </c>
      <c r="AF60">
        <v>3.0143106708379661</v>
      </c>
      <c r="AG60">
        <v>3.5216565759989709</v>
      </c>
      <c r="AH60">
        <v>4.1834605938648268</v>
      </c>
      <c r="AI60">
        <v>5.0764347120785667</v>
      </c>
      <c r="AJ60">
        <v>6.3365914086001442</v>
      </c>
      <c r="AK60">
        <v>8.2296891544101118</v>
      </c>
      <c r="AL60">
        <v>11.353082404995011</v>
      </c>
      <c r="AM60">
        <v>17.383700000000001</v>
      </c>
    </row>
    <row r="61" spans="2:39" hidden="1">
      <c r="B61" t="s">
        <v>236</v>
      </c>
      <c r="C61" s="11" t="s">
        <v>1518</v>
      </c>
      <c r="D61" t="s">
        <v>168</v>
      </c>
      <c r="E61">
        <v>1</v>
      </c>
      <c r="F61">
        <v>1</v>
      </c>
      <c r="G61">
        <v>1</v>
      </c>
      <c r="H61">
        <v>1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R61">
        <v>594.54999999999995</v>
      </c>
      <c r="S61">
        <v>491.64141451162129</v>
      </c>
      <c r="T61">
        <v>398.50463246510458</v>
      </c>
      <c r="U61">
        <v>315.13965386044958</v>
      </c>
      <c r="V61">
        <v>241.54647869765671</v>
      </c>
      <c r="W61">
        <v>177.72510697672578</v>
      </c>
      <c r="X61">
        <v>123.67553869765676</v>
      </c>
      <c r="Y61">
        <v>79.397773860449675</v>
      </c>
      <c r="Z61">
        <v>44.891812465104493</v>
      </c>
      <c r="AA61">
        <v>20.157654511621278</v>
      </c>
      <c r="AB61">
        <v>5.1952999999999996</v>
      </c>
      <c r="AC61">
        <v>1.8099999999999998</v>
      </c>
      <c r="AD61">
        <v>2.0508092730845342</v>
      </c>
      <c r="AE61">
        <v>2.3465593744441859</v>
      </c>
      <c r="AF61">
        <v>2.7165307403935017</v>
      </c>
      <c r="AG61">
        <v>3.1898478675122393</v>
      </c>
      <c r="AH61">
        <v>3.8125762275629969</v>
      </c>
      <c r="AI61">
        <v>4.6619532061547551</v>
      </c>
      <c r="AJ61">
        <v>5.8777833469275631</v>
      </c>
      <c r="AK61">
        <v>7.7411827227936492</v>
      </c>
      <c r="AL61">
        <v>10.91184188941507</v>
      </c>
      <c r="AM61">
        <v>17.383700000000001</v>
      </c>
    </row>
    <row r="62" spans="2:39" hidden="1">
      <c r="B62" t="s">
        <v>237</v>
      </c>
      <c r="C62" s="11" t="s">
        <v>1519</v>
      </c>
      <c r="D62" t="s">
        <v>168</v>
      </c>
      <c r="E62">
        <v>1</v>
      </c>
      <c r="F62">
        <v>1</v>
      </c>
      <c r="G62">
        <v>1</v>
      </c>
      <c r="H62">
        <v>1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R62">
        <v>617.70000000000005</v>
      </c>
      <c r="S62">
        <v>510.58581686316899</v>
      </c>
      <c r="T62">
        <v>413.66356997896702</v>
      </c>
      <c r="U62">
        <v>326.93325934739414</v>
      </c>
      <c r="V62">
        <v>250.39488496845044</v>
      </c>
      <c r="W62">
        <v>184.04844684213586</v>
      </c>
      <c r="X62">
        <v>127.89394496845044</v>
      </c>
      <c r="Y62">
        <v>81.931379347394142</v>
      </c>
      <c r="Z62">
        <v>46.160749978966933</v>
      </c>
      <c r="AA62">
        <v>20.582056863168908</v>
      </c>
      <c r="AB62">
        <v>5.1952999999999996</v>
      </c>
      <c r="AC62">
        <v>1.6400000000000001</v>
      </c>
      <c r="AD62">
        <v>1.8630375659224059</v>
      </c>
      <c r="AE62">
        <v>2.138078842720422</v>
      </c>
      <c r="AF62">
        <v>2.483784557229467</v>
      </c>
      <c r="AG62">
        <v>2.9285727844525011</v>
      </c>
      <c r="AH62">
        <v>3.517842498152683</v>
      </c>
      <c r="AI62">
        <v>4.3286845009714758</v>
      </c>
      <c r="AJ62">
        <v>5.5030009478841722</v>
      </c>
      <c r="AK62">
        <v>7.332935577646948</v>
      </c>
      <c r="AL62">
        <v>10.529300162992943</v>
      </c>
      <c r="AM62">
        <v>17.383700000000001</v>
      </c>
    </row>
    <row r="63" spans="2:39">
      <c r="B63" t="s">
        <v>238</v>
      </c>
      <c r="C63" s="11" t="s">
        <v>1520</v>
      </c>
      <c r="D63" t="s">
        <v>176</v>
      </c>
      <c r="E63">
        <v>1</v>
      </c>
      <c r="F63">
        <v>1</v>
      </c>
      <c r="G63">
        <v>1</v>
      </c>
      <c r="H63">
        <v>1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</row>
    <row r="64" spans="2:39">
      <c r="B64" t="s">
        <v>239</v>
      </c>
      <c r="C64" s="11" t="s">
        <v>1521</v>
      </c>
      <c r="D64" t="s">
        <v>176</v>
      </c>
      <c r="E64">
        <v>1.0087153</v>
      </c>
      <c r="F64">
        <v>0.99511000000000005</v>
      </c>
      <c r="G64">
        <v>1</v>
      </c>
      <c r="H64">
        <v>1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</row>
    <row r="65" spans="2:39" hidden="1">
      <c r="B65" t="s">
        <v>240</v>
      </c>
      <c r="C65" s="11" t="s">
        <v>1522</v>
      </c>
      <c r="D65" t="s">
        <v>168</v>
      </c>
      <c r="E65">
        <v>1.00705</v>
      </c>
      <c r="F65">
        <v>0.78190000000000004</v>
      </c>
      <c r="G65">
        <v>0.82850000000000001</v>
      </c>
      <c r="H65">
        <v>1.2007000000000001</v>
      </c>
      <c r="I65">
        <v>0.16170000000000001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R65">
        <v>44.4</v>
      </c>
      <c r="S65">
        <v>41.724966651005403</v>
      </c>
      <c r="T65">
        <v>39.380654624769903</v>
      </c>
      <c r="U65">
        <v>37.372221577088887</v>
      </c>
      <c r="V65">
        <v>35.704796136331524</v>
      </c>
      <c r="W65">
        <v>34.383478107362698</v>
      </c>
      <c r="X65">
        <v>33.413338673748356</v>
      </c>
      <c r="Y65">
        <v>32.799420598260973</v>
      </c>
      <c r="Z65">
        <v>32.546738421701832</v>
      </c>
      <c r="AA65">
        <v>32.66027866005652</v>
      </c>
      <c r="AB65">
        <v>33.145000000000003</v>
      </c>
      <c r="AC65">
        <v>24.1</v>
      </c>
      <c r="AD65">
        <v>22.781899254854594</v>
      </c>
      <c r="AE65">
        <v>21.346559969383826</v>
      </c>
      <c r="AF65">
        <v>19.926177433197122</v>
      </c>
      <c r="AG65">
        <v>18.612937152112735</v>
      </c>
      <c r="AH65">
        <v>17.4658877496522</v>
      </c>
      <c r="AI65">
        <v>16.522546678929388</v>
      </c>
      <c r="AJ65">
        <v>15.811275782425215</v>
      </c>
      <c r="AK65">
        <v>15.363903014145333</v>
      </c>
      <c r="AL65">
        <v>15.231142556964301</v>
      </c>
      <c r="AM65">
        <v>15.507999999999999</v>
      </c>
    </row>
    <row r="66" spans="2:39" hidden="1">
      <c r="B66" t="s">
        <v>241</v>
      </c>
      <c r="C66" s="11" t="s">
        <v>1523</v>
      </c>
      <c r="D66" t="s">
        <v>168</v>
      </c>
      <c r="E66">
        <v>1.0569323624489999</v>
      </c>
      <c r="F66">
        <v>1.1756965829999999</v>
      </c>
      <c r="G66">
        <v>1.028243731995</v>
      </c>
      <c r="H66">
        <v>0.97011535699999996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R66">
        <v>126.19199999999999</v>
      </c>
      <c r="S66">
        <v>116.8452428163242</v>
      </c>
      <c r="T66">
        <v>107.21697042859185</v>
      </c>
      <c r="U66">
        <v>97.42489351583616</v>
      </c>
      <c r="V66">
        <v>87.581455630389499</v>
      </c>
      <c r="W66">
        <v>77.794124544765566</v>
      </c>
      <c r="X66">
        <v>68.165664471400049</v>
      </c>
      <c r="Y66">
        <v>58.794390604389285</v>
      </c>
      <c r="Z66">
        <v>49.774407308234352</v>
      </c>
      <c r="AA66">
        <v>41.195831166300685</v>
      </c>
      <c r="AB66">
        <v>33.145000000000003</v>
      </c>
      <c r="AC66">
        <v>11.1839</v>
      </c>
      <c r="AD66">
        <v>11.535756912022967</v>
      </c>
      <c r="AE66">
        <v>11.92255337305461</v>
      </c>
      <c r="AF66">
        <v>12.341004557953886</v>
      </c>
      <c r="AG66">
        <v>12.786527081796027</v>
      </c>
      <c r="AH66">
        <v>13.252819105026033</v>
      </c>
      <c r="AI66">
        <v>13.731434423636905</v>
      </c>
      <c r="AJ66">
        <v>14.211399894333711</v>
      </c>
      <c r="AK66">
        <v>14.678954230553844</v>
      </c>
      <c r="AL66">
        <v>15.117515079003574</v>
      </c>
      <c r="AM66">
        <v>15.507999999999999</v>
      </c>
    </row>
    <row r="67" spans="2:39" hidden="1">
      <c r="B67" t="s">
        <v>242</v>
      </c>
      <c r="C67" s="11" t="s">
        <v>1524</v>
      </c>
      <c r="D67" t="s">
        <v>168</v>
      </c>
      <c r="E67">
        <v>1</v>
      </c>
      <c r="F67">
        <v>1.3775046070000001</v>
      </c>
      <c r="G67">
        <v>1</v>
      </c>
      <c r="H67">
        <v>1.1214162009999999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R67">
        <v>132.86000000000001</v>
      </c>
      <c r="S67">
        <v>124.40205787538831</v>
      </c>
      <c r="T67">
        <v>115.60776955624587</v>
      </c>
      <c r="U67">
        <v>106.47713504257267</v>
      </c>
      <c r="V67">
        <v>97.010154334368764</v>
      </c>
      <c r="W67">
        <v>87.206827431634139</v>
      </c>
      <c r="X67">
        <v>77.067154334368766</v>
      </c>
      <c r="Y67">
        <v>66.591135042572674</v>
      </c>
      <c r="Z67">
        <v>55.778769556245848</v>
      </c>
      <c r="AA67">
        <v>44.630057875388289</v>
      </c>
      <c r="AB67">
        <v>33.145000000000003</v>
      </c>
      <c r="AC67">
        <v>10.85</v>
      </c>
      <c r="AD67">
        <v>10.995846879414191</v>
      </c>
      <c r="AE67">
        <v>11.188506090800026</v>
      </c>
      <c r="AF67">
        <v>11.432761890583675</v>
      </c>
      <c r="AG67">
        <v>11.735036766019956</v>
      </c>
      <c r="AH67">
        <v>12.103847792827617</v>
      </c>
      <c r="AI67">
        <v>12.550469972242182</v>
      </c>
      <c r="AJ67">
        <v>13.089911915421705</v>
      </c>
      <c r="AK67">
        <v>13.742378618480805</v>
      </c>
      <c r="AL67">
        <v>14.535520423283298</v>
      </c>
      <c r="AM67">
        <v>15.507999999999999</v>
      </c>
    </row>
    <row r="68" spans="2:39" hidden="1">
      <c r="B68" t="s">
        <v>243</v>
      </c>
      <c r="C68" s="11" t="s">
        <v>1525</v>
      </c>
      <c r="D68" t="s">
        <v>168</v>
      </c>
      <c r="E68">
        <v>1</v>
      </c>
      <c r="F68">
        <v>1</v>
      </c>
      <c r="G68">
        <v>1</v>
      </c>
      <c r="H68">
        <v>1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R68">
        <v>150.68700000000001</v>
      </c>
      <c r="S68">
        <v>135.10886603109378</v>
      </c>
      <c r="T68">
        <v>120.38049516638893</v>
      </c>
      <c r="U68">
        <v>106.50188740588544</v>
      </c>
      <c r="V68">
        <v>93.473042749583357</v>
      </c>
      <c r="W68">
        <v>81.293961197482673</v>
      </c>
      <c r="X68">
        <v>69.964642749583362</v>
      </c>
      <c r="Y68">
        <v>59.485087405885437</v>
      </c>
      <c r="Z68">
        <v>49.855295166388899</v>
      </c>
      <c r="AA68">
        <v>41.075266031093761</v>
      </c>
      <c r="AB68">
        <v>33.145000000000003</v>
      </c>
      <c r="AC68">
        <v>13.407429649999999</v>
      </c>
      <c r="AD68">
        <v>13.595601980467775</v>
      </c>
      <c r="AE68">
        <v>13.788199949193778</v>
      </c>
      <c r="AF68">
        <v>13.985374738362554</v>
      </c>
      <c r="AG68">
        <v>14.187284414994309</v>
      </c>
      <c r="AH68">
        <v>14.39409432613223</v>
      </c>
      <c r="AI68">
        <v>14.605977521542668</v>
      </c>
      <c r="AJ68">
        <v>14.823115206188803</v>
      </c>
      <c r="AK68">
        <v>15.045697224952809</v>
      </c>
      <c r="AL68">
        <v>15.27392258231969</v>
      </c>
      <c r="AM68">
        <v>15.507999999999999</v>
      </c>
    </row>
    <row r="69" spans="2:39" hidden="1">
      <c r="B69" t="s">
        <v>244</v>
      </c>
      <c r="C69" s="11" t="s">
        <v>1526</v>
      </c>
      <c r="D69" t="s">
        <v>168</v>
      </c>
      <c r="E69">
        <v>1</v>
      </c>
      <c r="F69">
        <v>1</v>
      </c>
      <c r="G69">
        <v>1</v>
      </c>
      <c r="H69">
        <v>1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R69">
        <v>154.59899999999999</v>
      </c>
      <c r="S69">
        <v>138.44165287938822</v>
      </c>
      <c r="T69">
        <v>123.17584956335683</v>
      </c>
      <c r="U69">
        <v>108.80159005190581</v>
      </c>
      <c r="V69">
        <v>95.318874345035212</v>
      </c>
      <c r="W69">
        <v>82.727702442745027</v>
      </c>
      <c r="X69">
        <v>71.028074345035222</v>
      </c>
      <c r="Y69">
        <v>60.219990051905825</v>
      </c>
      <c r="Z69">
        <v>50.303449563356807</v>
      </c>
      <c r="AA69">
        <v>41.278452879388212</v>
      </c>
      <c r="AB69">
        <v>33.145000000000003</v>
      </c>
      <c r="AC69">
        <v>13.342188999999999</v>
      </c>
      <c r="AD69">
        <v>13.535485944053177</v>
      </c>
      <c r="AE69">
        <v>13.73347649031022</v>
      </c>
      <c r="AF69">
        <v>13.936326220393594</v>
      </c>
      <c r="AG69">
        <v>14.144208505838815</v>
      </c>
      <c r="AH69">
        <v>14.357304970187251</v>
      </c>
      <c r="AI69">
        <v>14.575805984338471</v>
      </c>
      <c r="AJ69">
        <v>14.799911197988486</v>
      </c>
      <c r="AK69">
        <v>15.02983011025769</v>
      </c>
      <c r="AL69">
        <v>15.265782682921435</v>
      </c>
      <c r="AM69">
        <v>15.507999999999999</v>
      </c>
    </row>
    <row r="70" spans="2:39" hidden="1">
      <c r="B70" t="s">
        <v>245</v>
      </c>
      <c r="C70" s="11" t="s">
        <v>1527</v>
      </c>
      <c r="D70" t="s">
        <v>168</v>
      </c>
      <c r="E70">
        <v>1.071846019853</v>
      </c>
      <c r="F70">
        <v>1.902008495</v>
      </c>
      <c r="G70">
        <v>1.080652125274</v>
      </c>
      <c r="H70">
        <v>1.1060720399999999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R70">
        <v>305.322</v>
      </c>
      <c r="S70">
        <v>284.01604849945477</v>
      </c>
      <c r="T70">
        <v>260.46164654093769</v>
      </c>
      <c r="U70">
        <v>235.04427977043889</v>
      </c>
      <c r="V70">
        <v>208.12777124309713</v>
      </c>
      <c r="W70">
        <v>180.05578201890575</v>
      </c>
      <c r="X70">
        <v>151.15318872510696</v>
      </c>
      <c r="Y70">
        <v>121.72734969532254</v>
      </c>
      <c r="Z70">
        <v>92.069270060032039</v>
      </c>
      <c r="AA70">
        <v>62.454675073523092</v>
      </c>
      <c r="AB70">
        <v>33.145000000000003</v>
      </c>
      <c r="AC70">
        <v>6.8568866850000001</v>
      </c>
      <c r="AD70">
        <v>7.149513241968446</v>
      </c>
      <c r="AE70">
        <v>7.5295418376390693</v>
      </c>
      <c r="AF70">
        <v>8.005489465487738</v>
      </c>
      <c r="AG70">
        <v>8.5896036773893751</v>
      </c>
      <c r="AH70">
        <v>9.298006175710352</v>
      </c>
      <c r="AI70">
        <v>10.150816243455095</v>
      </c>
      <c r="AJ70">
        <v>11.171973808476114</v>
      </c>
      <c r="AK70">
        <v>12.388255720686491</v>
      </c>
      <c r="AL70">
        <v>13.826572451168587</v>
      </c>
      <c r="AM70">
        <v>15.507999999999999</v>
      </c>
    </row>
    <row r="71" spans="2:39" hidden="1">
      <c r="B71" t="s">
        <v>246</v>
      </c>
      <c r="C71" s="11" t="s">
        <v>1528</v>
      </c>
      <c r="D71" t="s">
        <v>168</v>
      </c>
      <c r="E71">
        <v>1.0612104094829999</v>
      </c>
      <c r="F71">
        <v>1.782924792</v>
      </c>
      <c r="G71">
        <v>1.1060207623830001</v>
      </c>
      <c r="H71">
        <v>1.15279255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R71">
        <v>304.12819999999999</v>
      </c>
      <c r="S71">
        <v>280.44282084900993</v>
      </c>
      <c r="T71">
        <v>255.26025345891117</v>
      </c>
      <c r="U71">
        <v>228.88110625274373</v>
      </c>
      <c r="V71">
        <v>201.59154568717952</v>
      </c>
      <c r="W71">
        <v>173.6641532439121</v>
      </c>
      <c r="X71">
        <v>145.35872211179608</v>
      </c>
      <c r="Y71">
        <v>116.92299845384721</v>
      </c>
      <c r="Z71">
        <v>88.593371704524543</v>
      </c>
      <c r="AA71">
        <v>60.595517939773757</v>
      </c>
      <c r="AB71">
        <v>33.145000000000003</v>
      </c>
      <c r="AC71">
        <v>10.624906299999999</v>
      </c>
      <c r="AD71">
        <v>10.584935654300146</v>
      </c>
      <c r="AE71">
        <v>10.703973869644287</v>
      </c>
      <c r="AF71">
        <v>10.958427204950972</v>
      </c>
      <c r="AG71">
        <v>11.334026180846545</v>
      </c>
      <c r="AH71">
        <v>11.821213973484479</v>
      </c>
      <c r="AI71">
        <v>12.411745218476213</v>
      </c>
      <c r="AJ71">
        <v>13.095575703444323</v>
      </c>
      <c r="AK71">
        <v>13.857558987903911</v>
      </c>
      <c r="AL71">
        <v>14.673805217330433</v>
      </c>
      <c r="AM71">
        <v>15.507999999999999</v>
      </c>
    </row>
    <row r="72" spans="2:39" hidden="1">
      <c r="B72" t="s">
        <v>247</v>
      </c>
      <c r="C72" s="11" t="s">
        <v>1529</v>
      </c>
      <c r="D72" t="s">
        <v>168</v>
      </c>
      <c r="E72">
        <v>1</v>
      </c>
      <c r="F72">
        <v>1</v>
      </c>
      <c r="G72">
        <v>1</v>
      </c>
      <c r="H72">
        <v>1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R72">
        <v>373.1</v>
      </c>
      <c r="S72">
        <v>322.55922655867698</v>
      </c>
      <c r="T72">
        <v>275.69518054875914</v>
      </c>
      <c r="U72">
        <v>232.50786197024627</v>
      </c>
      <c r="V72">
        <v>192.99727082313859</v>
      </c>
      <c r="W72">
        <v>157.16340710743606</v>
      </c>
      <c r="X72">
        <v>125.00627082313861</v>
      </c>
      <c r="Y72">
        <v>96.525861970246297</v>
      </c>
      <c r="Z72">
        <v>71.72218054875907</v>
      </c>
      <c r="AA72">
        <v>50.59522655867697</v>
      </c>
      <c r="AB72">
        <v>33.145000000000003</v>
      </c>
      <c r="AC72">
        <v>10.19</v>
      </c>
      <c r="AD72">
        <v>10.575422177247976</v>
      </c>
      <c r="AE72">
        <v>10.985477125897118</v>
      </c>
      <c r="AF72">
        <v>11.422484403138986</v>
      </c>
      <c r="AG72">
        <v>11.88906004805191</v>
      </c>
      <c r="AH72">
        <v>12.388165321001297</v>
      </c>
      <c r="AI72">
        <v>12.923165373716641</v>
      </c>
      <c r="AJ72">
        <v>13.497900292888907</v>
      </c>
      <c r="AK72">
        <v>14.116771671844957</v>
      </c>
      <c r="AL72">
        <v>14.784848818654972</v>
      </c>
      <c r="AM72">
        <v>15.507999999999999</v>
      </c>
    </row>
    <row r="73" spans="2:39" hidden="1">
      <c r="B73" t="s">
        <v>248</v>
      </c>
      <c r="C73" s="11" t="s">
        <v>1530</v>
      </c>
      <c r="D73" t="s">
        <v>168</v>
      </c>
      <c r="E73">
        <v>1</v>
      </c>
      <c r="F73">
        <v>2.3082151909999999</v>
      </c>
      <c r="G73">
        <v>1</v>
      </c>
      <c r="H73">
        <v>1.07400611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R73">
        <v>369.89</v>
      </c>
      <c r="S73">
        <v>345.94619238575348</v>
      </c>
      <c r="T73">
        <v>319.84000868578391</v>
      </c>
      <c r="U73">
        <v>291.5714489000913</v>
      </c>
      <c r="V73">
        <v>261.1405130286758</v>
      </c>
      <c r="W73">
        <v>228.54720107153733</v>
      </c>
      <c r="X73">
        <v>193.79151302867584</v>
      </c>
      <c r="Y73">
        <v>156.87344890009138</v>
      </c>
      <c r="Z73">
        <v>117.79300868578389</v>
      </c>
      <c r="AA73">
        <v>76.550192385753434</v>
      </c>
      <c r="AB73">
        <v>33.145000000000003</v>
      </c>
      <c r="AC73">
        <v>5</v>
      </c>
      <c r="AD73">
        <v>5.3822596442045523</v>
      </c>
      <c r="AE73">
        <v>5.8228845669479226</v>
      </c>
      <c r="AF73">
        <v>6.3362581020412847</v>
      </c>
      <c r="AG73">
        <v>6.9419103052319109</v>
      </c>
      <c r="AH73">
        <v>7.6670460718772695</v>
      </c>
      <c r="AI73">
        <v>8.5507258028823667</v>
      </c>
      <c r="AJ73">
        <v>9.6511129563432405</v>
      </c>
      <c r="AK73">
        <v>11.058778909647845</v>
      </c>
      <c r="AL73">
        <v>12.922927295700658</v>
      </c>
      <c r="AM73">
        <v>15.507999999999999</v>
      </c>
    </row>
    <row r="74" spans="2:39" hidden="1">
      <c r="B74" t="s">
        <v>249</v>
      </c>
      <c r="C74" s="11" t="s">
        <v>1531</v>
      </c>
      <c r="D74" t="s">
        <v>168</v>
      </c>
      <c r="E74">
        <v>1</v>
      </c>
      <c r="F74">
        <v>1.8953053929999999</v>
      </c>
      <c r="G74">
        <v>1</v>
      </c>
      <c r="H74">
        <v>1.147595688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R74">
        <v>407.81</v>
      </c>
      <c r="S74">
        <v>370.32092359535557</v>
      </c>
      <c r="T74">
        <v>332.83686416952111</v>
      </c>
      <c r="U74">
        <v>295.35782172249628</v>
      </c>
      <c r="V74">
        <v>257.88379625428149</v>
      </c>
      <c r="W74">
        <v>220.41478776487656</v>
      </c>
      <c r="X74">
        <v>182.95079625428153</v>
      </c>
      <c r="Y74">
        <v>145.49182172249635</v>
      </c>
      <c r="Z74">
        <v>108.037864169521</v>
      </c>
      <c r="AA74">
        <v>70.588923595355567</v>
      </c>
      <c r="AB74">
        <v>33.145000000000003</v>
      </c>
      <c r="AC74">
        <v>3.8797567879999999</v>
      </c>
      <c r="AD74">
        <v>4.1972893859894445</v>
      </c>
      <c r="AE74">
        <v>4.5706296118410563</v>
      </c>
      <c r="AF74">
        <v>5.0159047067455456</v>
      </c>
      <c r="AG74">
        <v>5.5561181808385012</v>
      </c>
      <c r="AH74">
        <v>6.225251918170966</v>
      </c>
      <c r="AI74">
        <v>7.0757026979975315</v>
      </c>
      <c r="AJ74">
        <v>8.1927107855598198</v>
      </c>
      <c r="AK74">
        <v>9.7248757293988977</v>
      </c>
      <c r="AL74">
        <v>11.956461351542949</v>
      </c>
      <c r="AM74">
        <v>15.507999999999999</v>
      </c>
    </row>
    <row r="75" spans="2:39" hidden="1">
      <c r="B75" t="s">
        <v>250</v>
      </c>
      <c r="C75" s="11" t="s">
        <v>1532</v>
      </c>
      <c r="D75" t="s">
        <v>168</v>
      </c>
      <c r="E75">
        <v>1</v>
      </c>
      <c r="F75">
        <v>2.5092599450000002</v>
      </c>
      <c r="G75">
        <v>1</v>
      </c>
      <c r="H75">
        <v>1.232939523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R75">
        <v>425.125</v>
      </c>
      <c r="S75">
        <v>398.29759913880088</v>
      </c>
      <c r="T75">
        <v>368.72117624675707</v>
      </c>
      <c r="U75">
        <v>336.39573132386852</v>
      </c>
      <c r="V75">
        <v>301.32126437013551</v>
      </c>
      <c r="W75">
        <v>263.49777538555782</v>
      </c>
      <c r="X75">
        <v>222.92526437013549</v>
      </c>
      <c r="Y75">
        <v>179.60373132386854</v>
      </c>
      <c r="Z75">
        <v>133.53317624675697</v>
      </c>
      <c r="AA75">
        <v>84.713599138800802</v>
      </c>
      <c r="AB75">
        <v>33.145000000000003</v>
      </c>
      <c r="AC75">
        <v>3.9227696129999998</v>
      </c>
      <c r="AD75">
        <v>4.2035344281716371</v>
      </c>
      <c r="AE75">
        <v>4.5367948825439388</v>
      </c>
      <c r="AF75">
        <v>4.9383548509321313</v>
      </c>
      <c r="AG75">
        <v>5.4310924643740854</v>
      </c>
      <c r="AH75">
        <v>6.0494156103161938</v>
      </c>
      <c r="AI75">
        <v>6.847570253200054</v>
      </c>
      <c r="AJ75">
        <v>7.9163430287737633</v>
      </c>
      <c r="AK75">
        <v>9.420056275477938</v>
      </c>
      <c r="AL75">
        <v>11.689921145483289</v>
      </c>
      <c r="AM75">
        <v>15.507999999999999</v>
      </c>
    </row>
    <row r="76" spans="2:39" hidden="1">
      <c r="B76" t="s">
        <v>251</v>
      </c>
      <c r="C76" s="11" t="s">
        <v>1533</v>
      </c>
      <c r="D76" t="s">
        <v>168</v>
      </c>
      <c r="E76">
        <v>1</v>
      </c>
      <c r="F76">
        <v>1.9963866690000001</v>
      </c>
      <c r="G76">
        <v>1</v>
      </c>
      <c r="H76">
        <v>1.184340443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R76">
        <v>460.35</v>
      </c>
      <c r="S76">
        <v>417.60342775304969</v>
      </c>
      <c r="T76">
        <v>374.86264933875503</v>
      </c>
      <c r="U76">
        <v>332.12766475711578</v>
      </c>
      <c r="V76">
        <v>289.39847400813238</v>
      </c>
      <c r="W76">
        <v>246.67507709180455</v>
      </c>
      <c r="X76">
        <v>203.95747400813241</v>
      </c>
      <c r="Y76">
        <v>161.24566475711586</v>
      </c>
      <c r="Z76">
        <v>118.53964933875491</v>
      </c>
      <c r="AA76">
        <v>75.839427753049634</v>
      </c>
      <c r="AB76">
        <v>33.145000000000003</v>
      </c>
      <c r="AC76">
        <v>3.2709999999999999</v>
      </c>
      <c r="AD76">
        <v>3.5543094093749725</v>
      </c>
      <c r="AE76">
        <v>3.8905248632707399</v>
      </c>
      <c r="AF76">
        <v>4.2959890002095245</v>
      </c>
      <c r="AG76">
        <v>4.7945480296919589</v>
      </c>
      <c r="AH76">
        <v>5.422416645901456</v>
      </c>
      <c r="AI76">
        <v>6.2373918394526733</v>
      </c>
      <c r="AJ76">
        <v>7.337745208066802</v>
      </c>
      <c r="AK76">
        <v>8.9051720673727193</v>
      </c>
      <c r="AL76">
        <v>11.317163998181831</v>
      </c>
      <c r="AM76">
        <v>15.507999999999999</v>
      </c>
    </row>
    <row r="77" spans="2:39" hidden="1">
      <c r="B77" t="s">
        <v>252</v>
      </c>
      <c r="C77" s="11" t="s">
        <v>1534</v>
      </c>
      <c r="D77" t="s">
        <v>168</v>
      </c>
      <c r="E77">
        <v>1</v>
      </c>
      <c r="F77">
        <v>2.0138591739999998</v>
      </c>
      <c r="G77">
        <v>1</v>
      </c>
      <c r="H77">
        <v>1.188334783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R77">
        <v>469.65899999999999</v>
      </c>
      <c r="S77">
        <v>425.9826730131291</v>
      </c>
      <c r="T77">
        <v>382.311885356674</v>
      </c>
      <c r="U77">
        <v>338.64663703063451</v>
      </c>
      <c r="V77">
        <v>294.98692803501092</v>
      </c>
      <c r="W77">
        <v>251.33275836980306</v>
      </c>
      <c r="X77">
        <v>207.68412803501093</v>
      </c>
      <c r="Y77">
        <v>164.04103703063458</v>
      </c>
      <c r="Z77">
        <v>120.40348535667394</v>
      </c>
      <c r="AA77">
        <v>76.771473013129096</v>
      </c>
      <c r="AB77">
        <v>33.145000000000003</v>
      </c>
      <c r="AC77">
        <v>3.2599099999999996</v>
      </c>
      <c r="AD77">
        <v>3.5414111860043618</v>
      </c>
      <c r="AE77">
        <v>3.8756024565626377</v>
      </c>
      <c r="AF77">
        <v>4.278803314657055</v>
      </c>
      <c r="AG77">
        <v>4.7748485957593223</v>
      </c>
      <c r="AH77">
        <v>5.3999774569424295</v>
      </c>
      <c r="AI77">
        <v>6.2121097473069238</v>
      </c>
      <c r="AJ77">
        <v>7.3099110591183365</v>
      </c>
      <c r="AK77">
        <v>8.8762689708788862</v>
      </c>
      <c r="AL77">
        <v>11.292539507387817</v>
      </c>
      <c r="AM77">
        <v>15.507999999999999</v>
      </c>
    </row>
    <row r="78" spans="2:39" hidden="1">
      <c r="B78" t="s">
        <v>253</v>
      </c>
      <c r="C78" s="11" t="s">
        <v>1535</v>
      </c>
      <c r="D78" t="s">
        <v>168</v>
      </c>
      <c r="E78">
        <v>1</v>
      </c>
      <c r="F78">
        <v>3.0211975459999998</v>
      </c>
      <c r="G78">
        <v>1</v>
      </c>
      <c r="H78">
        <v>1.2434616780000001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R78">
        <v>507.82</v>
      </c>
      <c r="S78">
        <v>482.21865899998289</v>
      </c>
      <c r="T78">
        <v>451.75817155552517</v>
      </c>
      <c r="U78">
        <v>416.43853766662664</v>
      </c>
      <c r="V78">
        <v>376.25975733328767</v>
      </c>
      <c r="W78">
        <v>331.22183055550795</v>
      </c>
      <c r="X78">
        <v>281.32475733328761</v>
      </c>
      <c r="Y78">
        <v>226.5685376666267</v>
      </c>
      <c r="Z78">
        <v>166.95317155552507</v>
      </c>
      <c r="AA78">
        <v>102.47865899998284</v>
      </c>
      <c r="AB78">
        <v>33.145000000000003</v>
      </c>
      <c r="AC78">
        <v>2.706</v>
      </c>
      <c r="AD78">
        <v>2.9486248618962687</v>
      </c>
      <c r="AE78">
        <v>3.2392733007738559</v>
      </c>
      <c r="AF78">
        <v>3.5937692970830564</v>
      </c>
      <c r="AG78">
        <v>4.035746725063559</v>
      </c>
      <c r="AH78">
        <v>4.6021457311277025</v>
      </c>
      <c r="AI78">
        <v>5.3541113285208688</v>
      </c>
      <c r="AJ78">
        <v>6.4007023597214543</v>
      </c>
      <c r="AK78">
        <v>7.9572577727607925</v>
      </c>
      <c r="AL78">
        <v>10.516563170994463</v>
      </c>
      <c r="AM78">
        <v>15.507999999999999</v>
      </c>
    </row>
    <row r="79" spans="2:39" hidden="1">
      <c r="B79" t="s">
        <v>254</v>
      </c>
      <c r="C79" s="11" t="s">
        <v>1536</v>
      </c>
      <c r="D79" t="s">
        <v>168</v>
      </c>
      <c r="E79">
        <v>1</v>
      </c>
      <c r="F79">
        <v>3.1691430569999999</v>
      </c>
      <c r="G79">
        <v>1</v>
      </c>
      <c r="H79">
        <v>1.1591317219999999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R79">
        <v>540.20000000000005</v>
      </c>
      <c r="S79">
        <v>514.22439702800671</v>
      </c>
      <c r="T79">
        <v>482.75326138312295</v>
      </c>
      <c r="U79">
        <v>445.7865930653486</v>
      </c>
      <c r="V79">
        <v>403.32439207468417</v>
      </c>
      <c r="W79">
        <v>355.36665841112938</v>
      </c>
      <c r="X79">
        <v>301.91339207468417</v>
      </c>
      <c r="Y79">
        <v>242.96459306534865</v>
      </c>
      <c r="Z79">
        <v>178.52026138312274</v>
      </c>
      <c r="AA79">
        <v>108.58039702800656</v>
      </c>
      <c r="AB79">
        <v>33.145000000000003</v>
      </c>
      <c r="AC79">
        <v>2.33</v>
      </c>
      <c r="AD79">
        <v>2.5739929618776443</v>
      </c>
      <c r="AE79">
        <v>2.8673460333666672</v>
      </c>
      <c r="AF79">
        <v>3.2263906097134436</v>
      </c>
      <c r="AG79">
        <v>3.6755328824040592</v>
      </c>
      <c r="AH79">
        <v>4.2529461932972694</v>
      </c>
      <c r="AI79">
        <v>5.0218689191808288</v>
      </c>
      <c r="AJ79">
        <v>6.0952123916692464</v>
      </c>
      <c r="AK79">
        <v>7.6962423993732028</v>
      </c>
      <c r="AL79">
        <v>10.336976187615566</v>
      </c>
      <c r="AM79">
        <v>15.507999999999999</v>
      </c>
    </row>
    <row r="80" spans="2:39" hidden="1">
      <c r="B80" t="s">
        <v>255</v>
      </c>
      <c r="C80" s="11" t="s">
        <v>1537</v>
      </c>
      <c r="D80" t="s">
        <v>168</v>
      </c>
      <c r="E80">
        <v>1</v>
      </c>
      <c r="F80">
        <v>1</v>
      </c>
      <c r="G80">
        <v>1</v>
      </c>
      <c r="H80">
        <v>1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R80">
        <v>647.096</v>
      </c>
      <c r="S80">
        <v>550.84045238741419</v>
      </c>
      <c r="T80">
        <v>462.33167091095862</v>
      </c>
      <c r="U80">
        <v>381.56965557063296</v>
      </c>
      <c r="V80">
        <v>308.55440636643766</v>
      </c>
      <c r="W80">
        <v>243.28592329837261</v>
      </c>
      <c r="X80">
        <v>185.76420636643772</v>
      </c>
      <c r="Y80">
        <v>135.98925557063302</v>
      </c>
      <c r="Z80">
        <v>93.961070910958455</v>
      </c>
      <c r="AA80">
        <v>59.679652387414137</v>
      </c>
      <c r="AB80">
        <v>33.145000000000003</v>
      </c>
      <c r="AC80">
        <v>17.873727995599999</v>
      </c>
      <c r="AD80">
        <v>17.610796427359919</v>
      </c>
      <c r="AE80">
        <v>17.354272327363049</v>
      </c>
      <c r="AF80">
        <v>17.103932881401672</v>
      </c>
      <c r="AG80">
        <v>16.859565391808474</v>
      </c>
      <c r="AH80">
        <v>16.620966711132496</v>
      </c>
      <c r="AI80">
        <v>16.387942713412876</v>
      </c>
      <c r="AJ80">
        <v>16.160307800170752</v>
      </c>
      <c r="AK80">
        <v>15.937884438488888</v>
      </c>
      <c r="AL80">
        <v>15.720502728773935</v>
      </c>
      <c r="AM80">
        <v>15.507999999999999</v>
      </c>
    </row>
    <row r="81" spans="2:39" hidden="1">
      <c r="B81" t="s">
        <v>256</v>
      </c>
      <c r="C81" s="11" t="s">
        <v>1538</v>
      </c>
      <c r="D81" t="s">
        <v>168</v>
      </c>
      <c r="E81">
        <v>1</v>
      </c>
      <c r="F81">
        <v>2.1915552159999998</v>
      </c>
      <c r="G81">
        <v>1</v>
      </c>
      <c r="H81">
        <v>1.3052494050000001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R81">
        <v>568.74</v>
      </c>
      <c r="S81">
        <v>515.17236710159705</v>
      </c>
      <c r="T81">
        <v>461.60654151395033</v>
      </c>
      <c r="U81">
        <v>408.04252323705964</v>
      </c>
      <c r="V81">
        <v>354.48031227092537</v>
      </c>
      <c r="W81">
        <v>300.91990861554723</v>
      </c>
      <c r="X81">
        <v>247.3613122709254</v>
      </c>
      <c r="Y81">
        <v>193.8045232370597</v>
      </c>
      <c r="Z81">
        <v>140.24954151395022</v>
      </c>
      <c r="AA81">
        <v>86.696367101597005</v>
      </c>
      <c r="AB81">
        <v>33.145000000000003</v>
      </c>
      <c r="AC81">
        <v>2.0310000000000001</v>
      </c>
      <c r="AD81">
        <v>2.2270048295097529</v>
      </c>
      <c r="AE81">
        <v>2.4641449787116123</v>
      </c>
      <c r="AF81">
        <v>2.7568842747737943</v>
      </c>
      <c r="AG81">
        <v>3.1273677429340427</v>
      </c>
      <c r="AH81">
        <v>3.6113012125717163</v>
      </c>
      <c r="AI81">
        <v>4.2702078572641238</v>
      </c>
      <c r="AJ81">
        <v>5.2199111529282254</v>
      </c>
      <c r="AK81">
        <v>6.7074024419492284</v>
      </c>
      <c r="AL81">
        <v>9.3698541863317537</v>
      </c>
      <c r="AM81">
        <v>15.507999999999999</v>
      </c>
    </row>
    <row r="82" spans="2:39" hidden="1">
      <c r="B82" t="s">
        <v>257</v>
      </c>
      <c r="C82" s="11" t="s">
        <v>1539</v>
      </c>
      <c r="D82" t="s">
        <v>168</v>
      </c>
      <c r="E82">
        <v>1</v>
      </c>
      <c r="F82">
        <v>2.2343540399999999</v>
      </c>
      <c r="G82">
        <v>1</v>
      </c>
      <c r="H82">
        <v>1.342647661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R82">
        <v>594.54999999999995</v>
      </c>
      <c r="S82">
        <v>538.37523711586186</v>
      </c>
      <c r="T82">
        <v>482.20808820597676</v>
      </c>
      <c r="U82">
        <v>426.04855327034431</v>
      </c>
      <c r="V82">
        <v>369.89663230896502</v>
      </c>
      <c r="W82">
        <v>313.75232532183855</v>
      </c>
      <c r="X82">
        <v>257.61563230896502</v>
      </c>
      <c r="Y82">
        <v>201.48655327034442</v>
      </c>
      <c r="Z82">
        <v>145.36508820597666</v>
      </c>
      <c r="AA82">
        <v>89.251237115861883</v>
      </c>
      <c r="AB82">
        <v>33.145000000000003</v>
      </c>
      <c r="AC82">
        <v>1.8099999999999998</v>
      </c>
      <c r="AD82">
        <v>1.9871827653110721</v>
      </c>
      <c r="AE82">
        <v>2.2023221275660569</v>
      </c>
      <c r="AF82">
        <v>2.4690760269681977</v>
      </c>
      <c r="AG82">
        <v>2.8085481923725242</v>
      </c>
      <c r="AH82">
        <v>3.2551627439908182</v>
      </c>
      <c r="AI82">
        <v>3.8691428495694691</v>
      </c>
      <c r="AJ82">
        <v>4.7662518377625798</v>
      </c>
      <c r="AK82">
        <v>6.2010051671022222</v>
      </c>
      <c r="AL82">
        <v>8.8634956368667659</v>
      </c>
      <c r="AM82">
        <v>15.507999999999999</v>
      </c>
    </row>
    <row r="83" spans="2:39" hidden="1">
      <c r="B83" t="s">
        <v>258</v>
      </c>
      <c r="C83" s="11" t="s">
        <v>1540</v>
      </c>
      <c r="D83" t="s">
        <v>168</v>
      </c>
      <c r="E83">
        <v>0.93912754707199997</v>
      </c>
      <c r="F83">
        <v>3.786003724</v>
      </c>
      <c r="G83">
        <v>0.58984578754399997</v>
      </c>
      <c r="H83">
        <v>1.120233729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R83">
        <v>617.70000000000005</v>
      </c>
      <c r="S83">
        <v>593.3370961489677</v>
      </c>
      <c r="T83">
        <v>563.38971068241869</v>
      </c>
      <c r="U83">
        <v>527.17495210079483</v>
      </c>
      <c r="V83">
        <v>483.97608781625706</v>
      </c>
      <c r="W83">
        <v>433.04042158775678</v>
      </c>
      <c r="X83">
        <v>373.57700916998209</v>
      </c>
      <c r="Y83">
        <v>304.75419760412206</v>
      </c>
      <c r="Z83">
        <v>225.69697205883733</v>
      </c>
      <c r="AA83">
        <v>135.48409242965033</v>
      </c>
      <c r="AB83">
        <v>33.145000000000003</v>
      </c>
      <c r="AC83">
        <v>1.6400000000000001</v>
      </c>
      <c r="AD83">
        <v>1.9028242576062766</v>
      </c>
      <c r="AE83">
        <v>2.2121799244967941</v>
      </c>
      <c r="AF83">
        <v>2.5732698558302274</v>
      </c>
      <c r="AG83">
        <v>2.9910424074011752</v>
      </c>
      <c r="AH83">
        <v>3.4728440681360846</v>
      </c>
      <c r="AI83">
        <v>4.0377108803860127</v>
      </c>
      <c r="AJ83">
        <v>4.7433005425412356</v>
      </c>
      <c r="AK83">
        <v>5.7697762306800353</v>
      </c>
      <c r="AL83">
        <v>7.7854606760532885</v>
      </c>
      <c r="AM83">
        <v>15.507999999999999</v>
      </c>
    </row>
    <row r="84" spans="2:39">
      <c r="B84" t="s">
        <v>259</v>
      </c>
      <c r="C84" s="11" t="s">
        <v>1541</v>
      </c>
      <c r="D84" t="s">
        <v>176</v>
      </c>
      <c r="E84">
        <v>0.98882000000000003</v>
      </c>
      <c r="F84">
        <v>0.83392999999999995</v>
      </c>
      <c r="G84">
        <v>1</v>
      </c>
      <c r="H84">
        <v>1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</row>
    <row r="85" spans="2:39">
      <c r="B85" t="s">
        <v>260</v>
      </c>
      <c r="C85" s="11" t="s">
        <v>1542</v>
      </c>
      <c r="D85" t="s">
        <v>176</v>
      </c>
      <c r="E85">
        <v>1.0156100276869999</v>
      </c>
      <c r="F85">
        <v>1.22898</v>
      </c>
      <c r="G85">
        <v>1</v>
      </c>
      <c r="H85">
        <v>1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</row>
    <row r="86" spans="2:39" hidden="1">
      <c r="B86" t="s">
        <v>261</v>
      </c>
      <c r="C86" s="11" t="s">
        <v>1543</v>
      </c>
      <c r="D86" t="s">
        <v>219</v>
      </c>
      <c r="E86">
        <v>1.025641025641</v>
      </c>
      <c r="F86">
        <v>1.1479999999999999</v>
      </c>
      <c r="G86">
        <v>0.91575091575099998</v>
      </c>
      <c r="H86">
        <v>0.98799999999999999</v>
      </c>
      <c r="I86">
        <v>1.7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</row>
    <row r="87" spans="2:39">
      <c r="B87" t="s">
        <v>262</v>
      </c>
      <c r="C87" s="11" t="s">
        <v>1544</v>
      </c>
      <c r="D87" t="s">
        <v>176</v>
      </c>
      <c r="E87">
        <v>1.004</v>
      </c>
      <c r="F87">
        <v>1.0993999999999999</v>
      </c>
      <c r="G87">
        <v>1</v>
      </c>
      <c r="H87">
        <v>1.0509999999999999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</row>
    <row r="88" spans="2:39">
      <c r="B88" t="s">
        <v>263</v>
      </c>
      <c r="C88" s="11" t="s">
        <v>1545</v>
      </c>
      <c r="D88" t="s">
        <v>176</v>
      </c>
      <c r="E88">
        <v>1</v>
      </c>
      <c r="F88">
        <v>1.1554168</v>
      </c>
      <c r="G88">
        <v>1</v>
      </c>
      <c r="H88">
        <v>1.0260609999999999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</row>
    <row r="89" spans="2:39">
      <c r="B89" t="s">
        <v>264</v>
      </c>
      <c r="C89" s="11" t="s">
        <v>1546</v>
      </c>
      <c r="D89" t="s">
        <v>176</v>
      </c>
      <c r="E89">
        <v>1.0238499999999999</v>
      </c>
      <c r="F89">
        <v>1.1957</v>
      </c>
      <c r="G89">
        <v>1</v>
      </c>
      <c r="H89">
        <v>1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</row>
    <row r="90" spans="2:39" hidden="1">
      <c r="B90" t="s">
        <v>265</v>
      </c>
      <c r="C90" s="11" t="s">
        <v>1547</v>
      </c>
      <c r="D90" t="s">
        <v>168</v>
      </c>
      <c r="E90">
        <v>1</v>
      </c>
      <c r="F90">
        <v>1.2829999999999999</v>
      </c>
      <c r="G90">
        <v>0.89400000000000002</v>
      </c>
      <c r="H90">
        <v>1.2130000000000001</v>
      </c>
      <c r="I90">
        <v>1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R90">
        <v>289.733</v>
      </c>
      <c r="S90">
        <v>261.32099448198426</v>
      </c>
      <c r="T90">
        <v>233.77092352352764</v>
      </c>
      <c r="U90">
        <v>207.08278712462996</v>
      </c>
      <c r="V90">
        <v>181.25658528529138</v>
      </c>
      <c r="W90">
        <v>156.29231800551185</v>
      </c>
      <c r="X90">
        <v>132.18998528529141</v>
      </c>
      <c r="Y90">
        <v>108.94958712462997</v>
      </c>
      <c r="Z90">
        <v>86.571123523527575</v>
      </c>
      <c r="AA90">
        <v>65.054594481984253</v>
      </c>
      <c r="AB90">
        <v>44.4</v>
      </c>
      <c r="AC90">
        <v>8.4</v>
      </c>
      <c r="AD90">
        <v>8.9683388212064994</v>
      </c>
      <c r="AE90">
        <v>9.5732878953974172</v>
      </c>
      <c r="AF90">
        <v>10.231684181477158</v>
      </c>
      <c r="AG90">
        <v>10.971018609286746</v>
      </c>
      <c r="AH90">
        <v>11.835401850647632</v>
      </c>
      <c r="AI90">
        <v>12.896566847638901</v>
      </c>
      <c r="AJ90">
        <v>14.276175904326239</v>
      </c>
      <c r="AK90">
        <v>16.196082505471807</v>
      </c>
      <c r="AL90">
        <v>19.108003012231062</v>
      </c>
      <c r="AM90">
        <v>24.1</v>
      </c>
    </row>
    <row r="91" spans="2:39">
      <c r="B91" t="s">
        <v>266</v>
      </c>
      <c r="C91" s="11" t="s">
        <v>1548</v>
      </c>
      <c r="D91" t="s">
        <v>176</v>
      </c>
      <c r="E91">
        <v>1.0024090000000001</v>
      </c>
      <c r="F91">
        <v>0.99409999999999998</v>
      </c>
      <c r="G91">
        <v>1</v>
      </c>
      <c r="H91">
        <v>1.001317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</row>
    <row r="92" spans="2:39">
      <c r="B92" t="s">
        <v>267</v>
      </c>
      <c r="C92" s="11" t="s">
        <v>1549</v>
      </c>
      <c r="D92" t="s">
        <v>176</v>
      </c>
      <c r="E92">
        <v>0.99944200000000005</v>
      </c>
      <c r="F92">
        <v>0.98931100000000005</v>
      </c>
      <c r="G92">
        <v>1.006697</v>
      </c>
      <c r="H92">
        <v>1.001549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</row>
    <row r="93" spans="2:39" hidden="1">
      <c r="B93" t="s">
        <v>268</v>
      </c>
      <c r="C93" s="11" t="s">
        <v>1550</v>
      </c>
      <c r="D93" t="s">
        <v>168</v>
      </c>
      <c r="E93">
        <v>0.99719058900000002</v>
      </c>
      <c r="F93">
        <v>0.99515704400000005</v>
      </c>
      <c r="G93">
        <v>0.99952176999999998</v>
      </c>
      <c r="H93">
        <v>0.99708232799999996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R93">
        <v>154.59899999999999</v>
      </c>
      <c r="S93">
        <v>151.45059977989933</v>
      </c>
      <c r="T93">
        <v>148.39550640574427</v>
      </c>
      <c r="U93">
        <v>145.42440827440058</v>
      </c>
      <c r="V93">
        <v>142.52797283702586</v>
      </c>
      <c r="W93">
        <v>139.69684654014148</v>
      </c>
      <c r="X93">
        <v>136.92165476650587</v>
      </c>
      <c r="Y93">
        <v>134.19300177578779</v>
      </c>
      <c r="Z93">
        <v>131.50147064503929</v>
      </c>
      <c r="AA93">
        <v>128.83762320896673</v>
      </c>
      <c r="AB93">
        <v>126.19199999999999</v>
      </c>
      <c r="AC93">
        <v>13.342188999999999</v>
      </c>
      <c r="AD93">
        <v>13.104496907888461</v>
      </c>
      <c r="AE93">
        <v>12.871509452491575</v>
      </c>
      <c r="AF93">
        <v>12.643322766859399</v>
      </c>
      <c r="AG93">
        <v>12.420008189508389</v>
      </c>
      <c r="AH93">
        <v>12.20161475452726</v>
      </c>
      <c r="AI93">
        <v>11.988171522817069</v>
      </c>
      <c r="AJ93">
        <v>11.779689753672983</v>
      </c>
      <c r="AK93">
        <v>11.576164918366924</v>
      </c>
      <c r="AL93">
        <v>11.377578559326937</v>
      </c>
      <c r="AM93">
        <v>11.1839</v>
      </c>
    </row>
    <row r="94" spans="2:39">
      <c r="B94" t="s">
        <v>269</v>
      </c>
      <c r="C94" s="11" t="s">
        <v>1551</v>
      </c>
      <c r="D94" t="s">
        <v>176</v>
      </c>
      <c r="E94">
        <v>1</v>
      </c>
      <c r="F94">
        <v>1.0673999999999999</v>
      </c>
      <c r="G94">
        <v>1</v>
      </c>
      <c r="H94">
        <v>1.1693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</row>
    <row r="95" spans="2:39" hidden="1">
      <c r="B95" t="s">
        <v>270</v>
      </c>
      <c r="C95" s="11" t="s">
        <v>1552</v>
      </c>
      <c r="D95" t="s">
        <v>168</v>
      </c>
      <c r="E95">
        <v>1</v>
      </c>
      <c r="F95">
        <v>1.036</v>
      </c>
      <c r="G95">
        <v>1</v>
      </c>
      <c r="H95">
        <v>1.0580000000000001</v>
      </c>
      <c r="I95">
        <v>0.26900000000000002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R95">
        <v>282.35000000000002</v>
      </c>
      <c r="S95">
        <v>265.16537175943819</v>
      </c>
      <c r="T95">
        <v>248.32937201677899</v>
      </c>
      <c r="U95">
        <v>231.84200077202235</v>
      </c>
      <c r="V95">
        <v>215.7032580251684</v>
      </c>
      <c r="W95">
        <v>199.91314377621708</v>
      </c>
      <c r="X95">
        <v>184.47165802516838</v>
      </c>
      <c r="Y95">
        <v>169.37880077202234</v>
      </c>
      <c r="Z95">
        <v>154.63457201677892</v>
      </c>
      <c r="AA95">
        <v>140.23897175943813</v>
      </c>
      <c r="AB95">
        <v>126.19199999999999</v>
      </c>
      <c r="AC95">
        <v>7.6367659799999998</v>
      </c>
      <c r="AD95">
        <v>7.8313525245421562</v>
      </c>
      <c r="AE95">
        <v>8.0490440629757583</v>
      </c>
      <c r="AF95">
        <v>8.2929083329004314</v>
      </c>
      <c r="AG95">
        <v>8.5666555219854867</v>
      </c>
      <c r="AH95">
        <v>8.8748082376586233</v>
      </c>
      <c r="AI95">
        <v>9.2229292459741519</v>
      </c>
      <c r="AJ95">
        <v>9.6179311609368003</v>
      </c>
      <c r="AK95">
        <v>10.068504583609686</v>
      </c>
      <c r="AL95">
        <v>10.585721045380151</v>
      </c>
      <c r="AM95">
        <v>11.1839</v>
      </c>
    </row>
    <row r="96" spans="2:39" hidden="1">
      <c r="B96" t="s">
        <v>271</v>
      </c>
      <c r="C96" s="11" t="s">
        <v>1553</v>
      </c>
      <c r="D96" t="s">
        <v>219</v>
      </c>
      <c r="E96">
        <v>1.0076714280000001</v>
      </c>
      <c r="F96">
        <v>1.098650964</v>
      </c>
      <c r="G96">
        <v>0.97888016799999999</v>
      </c>
      <c r="H96">
        <v>1.0423528909999999</v>
      </c>
      <c r="I96">
        <v>1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</row>
    <row r="97" spans="2:39">
      <c r="B97" t="s">
        <v>272</v>
      </c>
      <c r="C97" s="11" t="s">
        <v>1554</v>
      </c>
      <c r="D97" t="s">
        <v>176</v>
      </c>
      <c r="E97">
        <v>1</v>
      </c>
      <c r="F97">
        <v>1.181</v>
      </c>
      <c r="G97">
        <v>1</v>
      </c>
      <c r="H97">
        <v>1.1727000000000001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</row>
    <row r="98" spans="2:39" hidden="1">
      <c r="B98" t="s">
        <v>273</v>
      </c>
      <c r="C98" s="11" t="s">
        <v>1555</v>
      </c>
      <c r="D98" t="s">
        <v>274</v>
      </c>
      <c r="E98">
        <v>1.0058945290000001</v>
      </c>
      <c r="F98">
        <v>1.1076541040000001</v>
      </c>
      <c r="G98">
        <v>0.977794634</v>
      </c>
      <c r="H98">
        <v>1.047578256</v>
      </c>
      <c r="I98">
        <v>1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</row>
    <row r="99" spans="2:39" hidden="1">
      <c r="B99" t="s">
        <v>275</v>
      </c>
      <c r="C99" s="11" t="s">
        <v>1556</v>
      </c>
      <c r="D99" t="s">
        <v>168</v>
      </c>
      <c r="E99">
        <v>1.004692366</v>
      </c>
      <c r="F99">
        <v>0.96017419999999998</v>
      </c>
      <c r="G99">
        <v>0.91039424899999999</v>
      </c>
      <c r="H99">
        <v>1.256844157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R99">
        <v>373.1</v>
      </c>
      <c r="S99">
        <v>341.11519282001967</v>
      </c>
      <c r="T99">
        <v>310.68844473922672</v>
      </c>
      <c r="U99">
        <v>281.84347223826933</v>
      </c>
      <c r="V99">
        <v>254.60390289430865</v>
      </c>
      <c r="W99">
        <v>228.9932757972071</v>
      </c>
      <c r="X99">
        <v>205.03504196338184</v>
      </c>
      <c r="Y99">
        <v>182.75256474733746</v>
      </c>
      <c r="Z99">
        <v>162.16912025089306</v>
      </c>
      <c r="AA99">
        <v>143.30789773011927</v>
      </c>
      <c r="AB99">
        <v>126.19199999999999</v>
      </c>
      <c r="AC99">
        <v>10.19</v>
      </c>
      <c r="AD99">
        <v>9.9980068897121974</v>
      </c>
      <c r="AE99">
        <v>9.8125202684584778</v>
      </c>
      <c r="AF99">
        <v>9.652067175514258</v>
      </c>
      <c r="AG99">
        <v>9.5342787074827129</v>
      </c>
      <c r="AH99">
        <v>9.4771854900752892</v>
      </c>
      <c r="AI99">
        <v>9.5013194371312828</v>
      </c>
      <c r="AJ99">
        <v>9.6330494364900741</v>
      </c>
      <c r="AK99">
        <v>9.9102221145211118</v>
      </c>
      <c r="AL99">
        <v>10.392653571697419</v>
      </c>
      <c r="AM99">
        <v>11.1839</v>
      </c>
    </row>
    <row r="100" spans="2:39">
      <c r="B100" t="s">
        <v>276</v>
      </c>
      <c r="C100" s="11" t="s">
        <v>1557</v>
      </c>
      <c r="D100" t="s">
        <v>176</v>
      </c>
      <c r="E100">
        <v>0.99</v>
      </c>
      <c r="F100">
        <v>1.1970000000000001</v>
      </c>
      <c r="G100">
        <v>1</v>
      </c>
      <c r="H100">
        <v>1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</row>
    <row r="101" spans="2:39" hidden="1">
      <c r="B101" t="s">
        <v>277</v>
      </c>
      <c r="C101" s="11" t="s">
        <v>1558</v>
      </c>
      <c r="D101" t="s">
        <v>168</v>
      </c>
      <c r="E101">
        <v>1.002677329</v>
      </c>
      <c r="F101">
        <v>1.201264026</v>
      </c>
      <c r="G101">
        <v>0.97442468100000001</v>
      </c>
      <c r="H101">
        <v>1.0810254079999999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R101">
        <v>369.89</v>
      </c>
      <c r="S101">
        <v>347.68852633806671</v>
      </c>
      <c r="T101">
        <v>324.96062481764397</v>
      </c>
      <c r="U101">
        <v>301.72307466539485</v>
      </c>
      <c r="V101">
        <v>277.99261919808174</v>
      </c>
      <c r="W101">
        <v>253.78596591857988</v>
      </c>
      <c r="X101">
        <v>229.11978661158312</v>
      </c>
      <c r="Y101">
        <v>204.01071743900366</v>
      </c>
      <c r="Z101">
        <v>178.47535903506542</v>
      </c>
      <c r="AA101">
        <v>152.53027660109353</v>
      </c>
      <c r="AB101">
        <v>126.19199999999999</v>
      </c>
      <c r="AC101">
        <v>5</v>
      </c>
      <c r="AD101">
        <v>5.2889364669667218</v>
      </c>
      <c r="AE101">
        <v>5.6067693054463907</v>
      </c>
      <c r="AF101">
        <v>5.9609011624947561</v>
      </c>
      <c r="AG101">
        <v>6.3613863717100667</v>
      </c>
      <c r="AH101">
        <v>6.8221146610799961</v>
      </c>
      <c r="AI101">
        <v>7.3627065644720648</v>
      </c>
      <c r="AJ101">
        <v>8.0116808586140262</v>
      </c>
      <c r="AK101">
        <v>8.8120198732178672</v>
      </c>
      <c r="AL101">
        <v>9.8315587825528965</v>
      </c>
      <c r="AM101">
        <v>11.1839</v>
      </c>
    </row>
    <row r="102" spans="2:39">
      <c r="B102" t="s">
        <v>278</v>
      </c>
      <c r="C102" s="11" t="s">
        <v>1559</v>
      </c>
      <c r="D102" t="s">
        <v>176</v>
      </c>
      <c r="E102">
        <v>1</v>
      </c>
      <c r="F102">
        <v>1.2360548</v>
      </c>
      <c r="G102">
        <v>1</v>
      </c>
      <c r="H102">
        <v>1.0311033999999999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</row>
    <row r="103" spans="2:39" hidden="1">
      <c r="B103" t="s">
        <v>279</v>
      </c>
      <c r="C103" s="11" t="s">
        <v>1560</v>
      </c>
      <c r="D103" t="s">
        <v>168</v>
      </c>
      <c r="E103">
        <v>1</v>
      </c>
      <c r="F103">
        <v>0.97450000000000003</v>
      </c>
      <c r="G103">
        <v>1</v>
      </c>
      <c r="H103">
        <v>1.1249</v>
      </c>
      <c r="I103">
        <v>1.6256999999999999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R103">
        <v>405.56</v>
      </c>
      <c r="S103">
        <v>369.44790967404538</v>
      </c>
      <c r="T103">
        <v>335.15255053163639</v>
      </c>
      <c r="U103">
        <v>302.6739225727726</v>
      </c>
      <c r="V103">
        <v>272.01202579745444</v>
      </c>
      <c r="W103">
        <v>243.1668602056817</v>
      </c>
      <c r="X103">
        <v>216.13842579745443</v>
      </c>
      <c r="Y103">
        <v>190.92672257277263</v>
      </c>
      <c r="Z103">
        <v>167.53175053163628</v>
      </c>
      <c r="AA103">
        <v>145.95350967404539</v>
      </c>
      <c r="AB103">
        <v>126.19199999999999</v>
      </c>
      <c r="AC103">
        <v>13.696</v>
      </c>
      <c r="AD103">
        <v>13.084917564860339</v>
      </c>
      <c r="AE103">
        <v>12.588050136736502</v>
      </c>
      <c r="AF103">
        <v>12.18565874111165</v>
      </c>
      <c r="AG103">
        <v>11.86329056358683</v>
      </c>
      <c r="AH103">
        <v>11.610313995605114</v>
      </c>
      <c r="AI103">
        <v>11.418954654208466</v>
      </c>
      <c r="AJ103">
        <v>11.283654299762331</v>
      </c>
      <c r="AK103">
        <v>11.200646847909063</v>
      </c>
      <c r="AL103">
        <v>11.167687873137661</v>
      </c>
      <c r="AM103">
        <v>11.1839</v>
      </c>
    </row>
    <row r="104" spans="2:39">
      <c r="B104" t="s">
        <v>280</v>
      </c>
      <c r="C104" s="11" t="s">
        <v>1561</v>
      </c>
      <c r="D104" t="s">
        <v>176</v>
      </c>
      <c r="E104">
        <v>1</v>
      </c>
      <c r="F104">
        <v>1.2981559</v>
      </c>
      <c r="G104">
        <v>1</v>
      </c>
      <c r="H104">
        <v>1.0625855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</row>
    <row r="105" spans="2:39" hidden="1">
      <c r="B105" t="s">
        <v>281</v>
      </c>
      <c r="C105" s="11" t="s">
        <v>1562</v>
      </c>
      <c r="D105" t="s">
        <v>168</v>
      </c>
      <c r="E105">
        <v>1</v>
      </c>
      <c r="F105">
        <v>1.1633</v>
      </c>
      <c r="G105">
        <v>1</v>
      </c>
      <c r="H105">
        <v>0.98609999999999998</v>
      </c>
      <c r="I105">
        <v>1.1162000000000001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R105">
        <v>400.37799999999999</v>
      </c>
      <c r="S105">
        <v>372.63496237609735</v>
      </c>
      <c r="T105">
        <v>344.96402200195098</v>
      </c>
      <c r="U105">
        <v>317.36517887756048</v>
      </c>
      <c r="V105">
        <v>289.83843300292631</v>
      </c>
      <c r="W105">
        <v>262.38378437804823</v>
      </c>
      <c r="X105">
        <v>235.00123300292631</v>
      </c>
      <c r="Y105">
        <v>207.69077887756052</v>
      </c>
      <c r="Z105">
        <v>180.45242200195088</v>
      </c>
      <c r="AA105">
        <v>153.28616237609737</v>
      </c>
      <c r="AB105">
        <v>126.19199999999999</v>
      </c>
      <c r="AC105">
        <v>5.94</v>
      </c>
      <c r="AD105">
        <v>6.2734968647734366</v>
      </c>
      <c r="AE105">
        <v>6.6363196685401631</v>
      </c>
      <c r="AF105">
        <v>7.0320640469042788</v>
      </c>
      <c r="AG105">
        <v>7.4649027250114255</v>
      </c>
      <c r="AH105">
        <v>7.9397020608790898</v>
      </c>
      <c r="AI105">
        <v>8.4621674158238243</v>
      </c>
      <c r="AJ105">
        <v>9.0390259172384244</v>
      </c>
      <c r="AK105">
        <v>9.678258191873816</v>
      </c>
      <c r="AL105">
        <v>10.389394901456559</v>
      </c>
      <c r="AM105">
        <v>11.1839</v>
      </c>
    </row>
    <row r="106" spans="2:39">
      <c r="B106" t="s">
        <v>282</v>
      </c>
      <c r="C106" s="11" t="s">
        <v>1563</v>
      </c>
      <c r="D106" t="s">
        <v>176</v>
      </c>
      <c r="E106">
        <v>0.99877150000000003</v>
      </c>
      <c r="F106">
        <v>1.30226</v>
      </c>
      <c r="G106">
        <v>1</v>
      </c>
      <c r="H106">
        <v>1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</row>
    <row r="107" spans="2:39">
      <c r="B107" t="s">
        <v>283</v>
      </c>
      <c r="C107" s="11" t="s">
        <v>1564</v>
      </c>
      <c r="D107" t="s">
        <v>176</v>
      </c>
      <c r="E107">
        <v>1</v>
      </c>
      <c r="F107">
        <v>1.3734074000000001</v>
      </c>
      <c r="G107">
        <v>1</v>
      </c>
      <c r="H107">
        <v>1.1099760000000001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</row>
    <row r="108" spans="2:39" hidden="1">
      <c r="B108" t="s">
        <v>284</v>
      </c>
      <c r="C108" s="11" t="s">
        <v>1565</v>
      </c>
      <c r="D108" t="s">
        <v>168</v>
      </c>
      <c r="E108">
        <v>0.99286812999999996</v>
      </c>
      <c r="F108">
        <v>1.284462634</v>
      </c>
      <c r="G108">
        <v>0.98641582999999999</v>
      </c>
      <c r="H108">
        <v>1.100576129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R108">
        <v>407.81</v>
      </c>
      <c r="S108">
        <v>383.73727327602353</v>
      </c>
      <c r="T108">
        <v>358.8880064977713</v>
      </c>
      <c r="U108">
        <v>333.21314119968264</v>
      </c>
      <c r="V108">
        <v>306.66333841675259</v>
      </c>
      <c r="W108">
        <v>279.18897667691147</v>
      </c>
      <c r="X108">
        <v>250.74014997613904</v>
      </c>
      <c r="Y108">
        <v>221.26666573613622</v>
      </c>
      <c r="Z108">
        <v>190.71804274438085</v>
      </c>
      <c r="AA108">
        <v>159.04350907638849</v>
      </c>
      <c r="AB108">
        <v>126.19199999999999</v>
      </c>
      <c r="AC108">
        <v>3.8797567879999999</v>
      </c>
      <c r="AD108">
        <v>4.1522948745086392</v>
      </c>
      <c r="AE108">
        <v>4.4626477826898574</v>
      </c>
      <c r="AF108">
        <v>4.8204983143965112</v>
      </c>
      <c r="AG108">
        <v>5.2391558288355222</v>
      </c>
      <c r="AH108">
        <v>5.737407528748192</v>
      </c>
      <c r="AI108">
        <v>6.3426332175134856</v>
      </c>
      <c r="AJ108">
        <v>7.0963193946353122</v>
      </c>
      <c r="AK108">
        <v>8.0644474777764454</v>
      </c>
      <c r="AL108">
        <v>9.3586522050472105</v>
      </c>
      <c r="AM108">
        <v>11.1839</v>
      </c>
    </row>
    <row r="109" spans="2:39">
      <c r="B109" t="s">
        <v>1182</v>
      </c>
      <c r="C109" s="11" t="s">
        <v>1566</v>
      </c>
      <c r="D109" t="s">
        <v>176</v>
      </c>
      <c r="E109">
        <v>0.95613811988800002</v>
      </c>
      <c r="F109">
        <v>1.1946588</v>
      </c>
      <c r="G109">
        <v>1.1066543680480001</v>
      </c>
      <c r="H109">
        <v>1.2155807999999999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</row>
    <row r="110" spans="2:39" hidden="1">
      <c r="B110" t="s">
        <v>285</v>
      </c>
      <c r="C110" s="11" t="s">
        <v>1567</v>
      </c>
      <c r="D110" t="s">
        <v>168</v>
      </c>
      <c r="E110">
        <v>0.99451523399999997</v>
      </c>
      <c r="F110">
        <v>1.304886838</v>
      </c>
      <c r="G110">
        <v>0.99608260999999998</v>
      </c>
      <c r="H110">
        <v>1.146949309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R110">
        <v>425.125</v>
      </c>
      <c r="S110">
        <v>399.77662808057875</v>
      </c>
      <c r="T110">
        <v>373.52383971896597</v>
      </c>
      <c r="U110">
        <v>346.3273512208533</v>
      </c>
      <c r="V110">
        <v>318.14770623965086</v>
      </c>
      <c r="W110">
        <v>288.94527482693235</v>
      </c>
      <c r="X110">
        <v>258.68025247660728</v>
      </c>
      <c r="Y110">
        <v>227.3126591627711</v>
      </c>
      <c r="Z110">
        <v>194.80233837118374</v>
      </c>
      <c r="AA110">
        <v>161.10895612432833</v>
      </c>
      <c r="AB110">
        <v>126.19199999999999</v>
      </c>
      <c r="AC110">
        <v>3.9227696129999998</v>
      </c>
      <c r="AD110">
        <v>4.1684263347391033</v>
      </c>
      <c r="AE110">
        <v>4.4527311431666661</v>
      </c>
      <c r="AF110">
        <v>4.7857700948857529</v>
      </c>
      <c r="AG110">
        <v>5.1814462210327505</v>
      </c>
      <c r="AH110">
        <v>5.6594747184643008</v>
      </c>
      <c r="AI110">
        <v>6.2487758592764351</v>
      </c>
      <c r="AJ110">
        <v>6.9935589660492941</v>
      </c>
      <c r="AK110">
        <v>7.9649668794574415</v>
      </c>
      <c r="AL110">
        <v>9.2852753922404982</v>
      </c>
      <c r="AM110">
        <v>11.1839</v>
      </c>
    </row>
    <row r="111" spans="2:39" hidden="1">
      <c r="B111" t="s">
        <v>1184</v>
      </c>
      <c r="C111" s="11" t="s">
        <v>1568</v>
      </c>
      <c r="D111" t="s">
        <v>168</v>
      </c>
      <c r="E111">
        <v>1</v>
      </c>
      <c r="F111">
        <v>1.3817707699999999</v>
      </c>
      <c r="G111">
        <v>1</v>
      </c>
      <c r="H111">
        <v>1.154135439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R111">
        <v>460.35</v>
      </c>
      <c r="S111">
        <v>434.09256326533932</v>
      </c>
      <c r="T111">
        <v>406.24437913838108</v>
      </c>
      <c r="U111">
        <v>376.805447619125</v>
      </c>
      <c r="V111">
        <v>345.77576870757144</v>
      </c>
      <c r="W111">
        <v>313.15534240372028</v>
      </c>
      <c r="X111">
        <v>278.94416870757146</v>
      </c>
      <c r="Y111">
        <v>243.14224761912504</v>
      </c>
      <c r="Z111">
        <v>205.74957913838097</v>
      </c>
      <c r="AA111">
        <v>166.76616326533929</v>
      </c>
      <c r="AB111">
        <v>126.19199999999999</v>
      </c>
      <c r="AC111">
        <v>3.2709999999999999</v>
      </c>
      <c r="AD111">
        <v>3.5076799654511093</v>
      </c>
      <c r="AE111">
        <v>3.7844691279060223</v>
      </c>
      <c r="AF111">
        <v>4.1124457793449523</v>
      </c>
      <c r="AG111">
        <v>4.5071831988419842</v>
      </c>
      <c r="AH111">
        <v>4.9912867540765102</v>
      </c>
      <c r="AI111">
        <v>5.5988680907856514</v>
      </c>
      <c r="AJ111">
        <v>6.3839334622125437</v>
      </c>
      <c r="AK111">
        <v>7.43736298789418</v>
      </c>
      <c r="AL111">
        <v>8.9248584233454356</v>
      </c>
      <c r="AM111">
        <v>11.1839</v>
      </c>
    </row>
    <row r="112" spans="2:39" hidden="1">
      <c r="B112" t="s">
        <v>286</v>
      </c>
      <c r="C112" s="11" t="s">
        <v>1569</v>
      </c>
      <c r="D112" t="s">
        <v>168</v>
      </c>
      <c r="E112">
        <v>1</v>
      </c>
      <c r="F112">
        <v>1.4190290409999999</v>
      </c>
      <c r="G112">
        <v>1</v>
      </c>
      <c r="H112">
        <v>1.0788771660000001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R112">
        <v>469.65899999999999</v>
      </c>
      <c r="S112">
        <v>443.86861755046527</v>
      </c>
      <c r="T112">
        <v>416.17683120082728</v>
      </c>
      <c r="U112">
        <v>386.58364095108567</v>
      </c>
      <c r="V112">
        <v>355.08904680124078</v>
      </c>
      <c r="W112">
        <v>321.69304875129251</v>
      </c>
      <c r="X112">
        <v>286.39564680124079</v>
      </c>
      <c r="Y112">
        <v>249.19684095108573</v>
      </c>
      <c r="Z112">
        <v>210.09663120082718</v>
      </c>
      <c r="AA112">
        <v>169.09501755046529</v>
      </c>
      <c r="AB112">
        <v>126.19199999999999</v>
      </c>
      <c r="AC112">
        <v>3.2599099999999996</v>
      </c>
      <c r="AD112">
        <v>3.525884694315589</v>
      </c>
      <c r="AE112">
        <v>3.834517382831276</v>
      </c>
      <c r="AF112">
        <v>4.1968545478712951</v>
      </c>
      <c r="AG112">
        <v>4.6281130266890225</v>
      </c>
      <c r="AH112">
        <v>5.1498529589258739</v>
      </c>
      <c r="AI112">
        <v>5.7936674245130364</v>
      </c>
      <c r="AJ112">
        <v>6.607786432665999</v>
      </c>
      <c r="AK112">
        <v>7.6696880467588242</v>
      </c>
      <c r="AL112">
        <v>9.1122307371571551</v>
      </c>
      <c r="AM112">
        <v>11.1839</v>
      </c>
    </row>
    <row r="113" spans="2:39" hidden="1">
      <c r="B113" t="s">
        <v>287</v>
      </c>
      <c r="C113" s="11" t="s">
        <v>1570</v>
      </c>
      <c r="D113" t="s">
        <v>288</v>
      </c>
      <c r="E113">
        <v>0.98039215686299996</v>
      </c>
      <c r="F113">
        <v>1.6080000000000001</v>
      </c>
      <c r="G113">
        <v>0.70771408350999998</v>
      </c>
      <c r="H113">
        <v>1.9</v>
      </c>
      <c r="I113">
        <v>0.65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</row>
    <row r="114" spans="2:39" hidden="1">
      <c r="B114" t="s">
        <v>289</v>
      </c>
      <c r="C114" s="11" t="s">
        <v>1571</v>
      </c>
      <c r="D114" t="s">
        <v>168</v>
      </c>
      <c r="E114">
        <v>0.94740000000000002</v>
      </c>
      <c r="F114">
        <v>1.3696999999999999</v>
      </c>
      <c r="G114">
        <v>0.87250000000000005</v>
      </c>
      <c r="H114">
        <v>1.2294</v>
      </c>
      <c r="I114">
        <v>2.2557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R114">
        <v>511.72</v>
      </c>
      <c r="S114">
        <v>475.72525255945533</v>
      </c>
      <c r="T114">
        <v>440.2769672627029</v>
      </c>
      <c r="U114">
        <v>404.98797894343079</v>
      </c>
      <c r="V114">
        <v>369.45458125571923</v>
      </c>
      <c r="W114">
        <v>333.25563375861952</v>
      </c>
      <c r="X114">
        <v>295.95161052850244</v>
      </c>
      <c r="Y114">
        <v>257.08358578267678</v>
      </c>
      <c r="Z114">
        <v>216.17215159463217</v>
      </c>
      <c r="AA114">
        <v>172.71626233717217</v>
      </c>
      <c r="AB114">
        <v>126.19199999999999</v>
      </c>
      <c r="AC114">
        <v>3.92</v>
      </c>
      <c r="AD114">
        <v>4.187728408124479</v>
      </c>
      <c r="AE114">
        <v>4.4678814942663809</v>
      </c>
      <c r="AF114">
        <v>4.7674927996521426</v>
      </c>
      <c r="AG114">
        <v>5.0988778976661102</v>
      </c>
      <c r="AH114">
        <v>5.482523402133662</v>
      </c>
      <c r="AI114">
        <v>5.9524261397859979</v>
      </c>
      <c r="AJ114">
        <v>6.5671147502814398</v>
      </c>
      <c r="AK114">
        <v>7.4351756272559619</v>
      </c>
      <c r="AL114">
        <v>8.7835890310190656</v>
      </c>
      <c r="AM114">
        <v>11.1839</v>
      </c>
    </row>
    <row r="115" spans="2:39">
      <c r="B115" t="s">
        <v>290</v>
      </c>
      <c r="C115" s="11" t="s">
        <v>1572</v>
      </c>
      <c r="D115" t="s">
        <v>176</v>
      </c>
      <c r="E115">
        <v>0.998</v>
      </c>
      <c r="F115">
        <v>1.5293000000000001</v>
      </c>
      <c r="G115">
        <v>0.53400000000000003</v>
      </c>
      <c r="H115">
        <v>1.5289999999999999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</row>
    <row r="116" spans="2:39" hidden="1">
      <c r="B116" t="s">
        <v>291</v>
      </c>
      <c r="C116" s="11" t="s">
        <v>1573</v>
      </c>
      <c r="D116" t="s">
        <v>168</v>
      </c>
      <c r="E116">
        <v>1</v>
      </c>
      <c r="F116">
        <v>1.472607971</v>
      </c>
      <c r="G116">
        <v>1</v>
      </c>
      <c r="H116">
        <v>1.1959521769999999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R116">
        <v>507.82</v>
      </c>
      <c r="S116">
        <v>479.69734741188762</v>
      </c>
      <c r="T116">
        <v>449.34355095446699</v>
      </c>
      <c r="U116">
        <v>416.75861062773771</v>
      </c>
      <c r="V116">
        <v>381.94252643170034</v>
      </c>
      <c r="W116">
        <v>344.8952983663545</v>
      </c>
      <c r="X116">
        <v>305.61692643170034</v>
      </c>
      <c r="Y116">
        <v>264.10741062773781</v>
      </c>
      <c r="Z116">
        <v>220.36675095446688</v>
      </c>
      <c r="AA116">
        <v>174.39494741188761</v>
      </c>
      <c r="AB116">
        <v>126.19199999999999</v>
      </c>
      <c r="AC116">
        <v>2.706</v>
      </c>
      <c r="AD116">
        <v>2.9175584470675249</v>
      </c>
      <c r="AE116">
        <v>3.167712988291834</v>
      </c>
      <c r="AF116">
        <v>3.4680363516332617</v>
      </c>
      <c r="AG116">
        <v>3.8352428245293408</v>
      </c>
      <c r="AH116">
        <v>4.2944003772364034</v>
      </c>
      <c r="AI116">
        <v>4.8848947128425122</v>
      </c>
      <c r="AJ116">
        <v>5.6723540267603729</v>
      </c>
      <c r="AK116">
        <v>6.7748738605749645</v>
      </c>
      <c r="AL116">
        <v>8.4285461956578729</v>
      </c>
      <c r="AM116">
        <v>11.1839</v>
      </c>
    </row>
    <row r="117" spans="2:39" hidden="1">
      <c r="B117" t="s">
        <v>292</v>
      </c>
      <c r="C117" s="11" t="s">
        <v>1574</v>
      </c>
      <c r="D117" t="s">
        <v>168</v>
      </c>
      <c r="E117">
        <v>0.92700000000000005</v>
      </c>
      <c r="F117">
        <v>1.6659999999999999</v>
      </c>
      <c r="G117">
        <v>1</v>
      </c>
      <c r="H117">
        <v>1</v>
      </c>
      <c r="I117">
        <v>0.77800000000000002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R117">
        <v>514.71</v>
      </c>
      <c r="S117">
        <v>490.03534539005864</v>
      </c>
      <c r="T117">
        <v>464.0592818468013</v>
      </c>
      <c r="U117">
        <v>436.15969628919129</v>
      </c>
      <c r="V117">
        <v>405.67738319625653</v>
      </c>
      <c r="W117">
        <v>371.91323830942986</v>
      </c>
      <c r="X117">
        <v>334.12519364169475</v>
      </c>
      <c r="Y117">
        <v>291.52486553775316</v>
      </c>
      <c r="Z117">
        <v>243.2738839463978</v>
      </c>
      <c r="AA117">
        <v>188.47986696385072</v>
      </c>
      <c r="AB117">
        <v>126.19199999999999</v>
      </c>
      <c r="AC117">
        <v>5.93</v>
      </c>
      <c r="AD117">
        <v>6.2514170427495781</v>
      </c>
      <c r="AE117">
        <v>6.6024163575321575</v>
      </c>
      <c r="AF117">
        <v>6.9870475819278752</v>
      </c>
      <c r="AG117">
        <v>7.4101224708317668</v>
      </c>
      <c r="AH117">
        <v>7.8774021399077503</v>
      </c>
      <c r="AI117">
        <v>8.3958422866710123</v>
      </c>
      <c r="AJ117">
        <v>8.9739184644598584</v>
      </c>
      <c r="AK117">
        <v>9.6220636420793877</v>
      </c>
      <c r="AL117">
        <v>10.353266018167494</v>
      </c>
      <c r="AM117">
        <v>11.1839</v>
      </c>
    </row>
    <row r="118" spans="2:39" hidden="1">
      <c r="B118" t="s">
        <v>293</v>
      </c>
      <c r="C118" s="11" t="s">
        <v>1575</v>
      </c>
      <c r="D118" t="s">
        <v>168</v>
      </c>
      <c r="E118">
        <v>1</v>
      </c>
      <c r="F118">
        <v>1.4350000000000001</v>
      </c>
      <c r="G118">
        <v>1</v>
      </c>
      <c r="H118">
        <v>1</v>
      </c>
      <c r="I118">
        <v>0.25700000000000001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R118">
        <v>562.02</v>
      </c>
      <c r="S118">
        <v>525.28667763562635</v>
      </c>
      <c r="T118">
        <v>487.03124913000261</v>
      </c>
      <c r="U118">
        <v>447.25371448312831</v>
      </c>
      <c r="V118">
        <v>405.95407369500373</v>
      </c>
      <c r="W118">
        <v>363.13232676562893</v>
      </c>
      <c r="X118">
        <v>318.78847369500374</v>
      </c>
      <c r="Y118">
        <v>272.92251448312834</v>
      </c>
      <c r="Z118">
        <v>225.53444913000249</v>
      </c>
      <c r="AA118">
        <v>176.62427763562641</v>
      </c>
      <c r="AB118">
        <v>126.19199999999999</v>
      </c>
      <c r="AC118">
        <v>3.9009999999999998</v>
      </c>
      <c r="AD118">
        <v>4.2182168247691614</v>
      </c>
      <c r="AE118">
        <v>4.5795135804795484</v>
      </c>
      <c r="AF118">
        <v>4.9941333699283508</v>
      </c>
      <c r="AG118">
        <v>5.4740406262015711</v>
      </c>
      <c r="AH118">
        <v>6.0349950844141604</v>
      </c>
      <c r="AI118">
        <v>6.6981768279886262</v>
      </c>
      <c r="AJ118">
        <v>7.4927229389541692</v>
      </c>
      <c r="AK118">
        <v>8.459833588469218</v>
      </c>
      <c r="AL118">
        <v>9.6597102129512962</v>
      </c>
      <c r="AM118">
        <v>11.1839</v>
      </c>
    </row>
    <row r="119" spans="2:39" hidden="1">
      <c r="B119" t="s">
        <v>294</v>
      </c>
      <c r="C119" s="11" t="s">
        <v>1576</v>
      </c>
      <c r="D119" t="s">
        <v>168</v>
      </c>
      <c r="E119">
        <v>1</v>
      </c>
      <c r="F119">
        <v>1.4419999999999999</v>
      </c>
      <c r="G119">
        <v>1</v>
      </c>
      <c r="H119">
        <v>1.0177</v>
      </c>
      <c r="I119">
        <v>0.73499999999999999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R119">
        <v>553.6</v>
      </c>
      <c r="S119">
        <v>518.28228011572719</v>
      </c>
      <c r="T119">
        <v>481.31498687240401</v>
      </c>
      <c r="U119">
        <v>442.69812027003002</v>
      </c>
      <c r="V119">
        <v>402.43168030860579</v>
      </c>
      <c r="W119">
        <v>360.51566698813099</v>
      </c>
      <c r="X119">
        <v>316.95008030860583</v>
      </c>
      <c r="Y119">
        <v>271.7349202700301</v>
      </c>
      <c r="Z119">
        <v>224.87018687240385</v>
      </c>
      <c r="AA119">
        <v>176.35588011572716</v>
      </c>
      <c r="AB119">
        <v>126.19199999999999</v>
      </c>
      <c r="AC119">
        <v>3.2240000000000002</v>
      </c>
      <c r="AD119">
        <v>3.5129837824436776</v>
      </c>
      <c r="AE119">
        <v>3.8475266763894327</v>
      </c>
      <c r="AF119">
        <v>4.2387163795907519</v>
      </c>
      <c r="AG119">
        <v>4.7015005312600717</v>
      </c>
      <c r="AH119">
        <v>5.2565196033699673</v>
      </c>
      <c r="AI119">
        <v>5.9330927135179445</v>
      </c>
      <c r="AJ119">
        <v>6.7743013126400413</v>
      </c>
      <c r="AK119">
        <v>7.8461181775658817</v>
      </c>
      <c r="AL119">
        <v>9.2549109564211491</v>
      </c>
      <c r="AM119">
        <v>11.1839</v>
      </c>
    </row>
    <row r="120" spans="2:39" hidden="1">
      <c r="B120" t="s">
        <v>295</v>
      </c>
      <c r="C120" s="11" t="s">
        <v>1577</v>
      </c>
      <c r="D120" t="s">
        <v>168</v>
      </c>
      <c r="E120">
        <v>1</v>
      </c>
      <c r="F120">
        <v>1.5209753340000001</v>
      </c>
      <c r="G120">
        <v>1</v>
      </c>
      <c r="H120">
        <v>1.40455409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R120">
        <v>540.20000000000005</v>
      </c>
      <c r="S120">
        <v>510.30446874027467</v>
      </c>
      <c r="T120">
        <v>477.85221109382172</v>
      </c>
      <c r="U120">
        <v>442.8432270606408</v>
      </c>
      <c r="V120">
        <v>405.27751664073236</v>
      </c>
      <c r="W120">
        <v>365.15507983409623</v>
      </c>
      <c r="X120">
        <v>322.47591664073241</v>
      </c>
      <c r="Y120">
        <v>277.24002706064084</v>
      </c>
      <c r="Z120">
        <v>229.44741109382156</v>
      </c>
      <c r="AA120">
        <v>179.09806874027464</v>
      </c>
      <c r="AB120">
        <v>126.19199999999999</v>
      </c>
      <c r="AC120">
        <v>2.33</v>
      </c>
      <c r="AD120">
        <v>2.4792731060600852</v>
      </c>
      <c r="AE120">
        <v>2.6617308043868584</v>
      </c>
      <c r="AF120">
        <v>2.8881813582036489</v>
      </c>
      <c r="AG120">
        <v>3.1748674015146587</v>
      </c>
      <c r="AH120">
        <v>3.5473470191845182</v>
      </c>
      <c r="AI120">
        <v>4.0482597276832246</v>
      </c>
      <c r="AJ120">
        <v>4.7544216605732306</v>
      </c>
      <c r="AK120">
        <v>5.8195967542151434</v>
      </c>
      <c r="AL120">
        <v>7.6029562370312647</v>
      </c>
      <c r="AM120">
        <v>11.1839</v>
      </c>
    </row>
    <row r="121" spans="2:39">
      <c r="B121" t="s">
        <v>296</v>
      </c>
      <c r="C121" s="11" t="s">
        <v>1578</v>
      </c>
      <c r="D121" t="s">
        <v>176</v>
      </c>
      <c r="E121">
        <v>0.99112940000000005</v>
      </c>
      <c r="F121">
        <v>1.5544800000000001</v>
      </c>
      <c r="G121">
        <v>1</v>
      </c>
      <c r="H121">
        <v>1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</row>
    <row r="122" spans="2:39" hidden="1">
      <c r="B122" t="s">
        <v>297</v>
      </c>
      <c r="C122" s="11" t="s">
        <v>1579</v>
      </c>
      <c r="D122" t="s">
        <v>298</v>
      </c>
      <c r="E122">
        <v>1.048054</v>
      </c>
      <c r="F122">
        <v>0.80514699999999995</v>
      </c>
      <c r="G122">
        <v>0.92624499999999999</v>
      </c>
      <c r="H122">
        <v>0.73344299999999996</v>
      </c>
      <c r="I122">
        <v>1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</row>
    <row r="123" spans="2:39">
      <c r="B123" t="s">
        <v>299</v>
      </c>
      <c r="C123" s="11" t="s">
        <v>1580</v>
      </c>
      <c r="D123" t="s">
        <v>176</v>
      </c>
      <c r="E123">
        <v>0.99099999999999999</v>
      </c>
      <c r="F123">
        <v>1.542</v>
      </c>
      <c r="G123">
        <v>1</v>
      </c>
      <c r="H123">
        <v>1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</row>
    <row r="124" spans="2:39">
      <c r="B124" t="s">
        <v>300</v>
      </c>
      <c r="C124" s="11" t="s">
        <v>1581</v>
      </c>
      <c r="D124" t="s">
        <v>176</v>
      </c>
      <c r="E124">
        <v>1</v>
      </c>
      <c r="F124">
        <v>1.524</v>
      </c>
      <c r="G124">
        <v>1</v>
      </c>
      <c r="H124">
        <v>1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</row>
    <row r="125" spans="2:39" hidden="1">
      <c r="B125" t="s">
        <v>301</v>
      </c>
      <c r="C125" s="11" t="s">
        <v>1582</v>
      </c>
      <c r="D125" t="s">
        <v>168</v>
      </c>
      <c r="E125">
        <v>1</v>
      </c>
      <c r="F125">
        <v>1.7332800509999999</v>
      </c>
      <c r="G125">
        <v>1</v>
      </c>
      <c r="H125">
        <v>1.1860670250000001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R125">
        <v>568.74</v>
      </c>
      <c r="S125">
        <v>545.52356696999357</v>
      </c>
      <c r="T125">
        <v>517.63194127998872</v>
      </c>
      <c r="U125">
        <v>485.06512292998497</v>
      </c>
      <c r="V125">
        <v>447.82311191998281</v>
      </c>
      <c r="W125">
        <v>405.90590824998213</v>
      </c>
      <c r="X125">
        <v>359.31351191998283</v>
      </c>
      <c r="Y125">
        <v>308.04592292998495</v>
      </c>
      <c r="Z125">
        <v>252.10314127998851</v>
      </c>
      <c r="AA125">
        <v>191.48516696999354</v>
      </c>
      <c r="AB125">
        <v>126.19199999999999</v>
      </c>
      <c r="AC125">
        <v>2.0310000000000001</v>
      </c>
      <c r="AD125">
        <v>2.2212269083552667</v>
      </c>
      <c r="AE125">
        <v>2.4482751463138706</v>
      </c>
      <c r="AF125">
        <v>2.7239358691120592</v>
      </c>
      <c r="AG125">
        <v>3.0656350756772484</v>
      </c>
      <c r="AH125">
        <v>3.5002563014068713</v>
      </c>
      <c r="AI125">
        <v>4.0715638178528293</v>
      </c>
      <c r="AJ125">
        <v>4.855919512236281</v>
      </c>
      <c r="AK125">
        <v>5.9995777338788754</v>
      </c>
      <c r="AL125">
        <v>7.8223753823216766</v>
      </c>
      <c r="AM125">
        <v>11.1839</v>
      </c>
    </row>
    <row r="126" spans="2:39">
      <c r="B126" t="s">
        <v>302</v>
      </c>
      <c r="C126" s="11" t="s">
        <v>1583</v>
      </c>
      <c r="D126" t="s">
        <v>176</v>
      </c>
      <c r="E126">
        <v>0.99470999999999998</v>
      </c>
      <c r="F126">
        <v>1.63462</v>
      </c>
      <c r="G126">
        <v>1</v>
      </c>
      <c r="H126">
        <v>1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</row>
    <row r="127" spans="2:39" hidden="1">
      <c r="B127" t="s">
        <v>303</v>
      </c>
      <c r="C127" s="11" t="s">
        <v>1584</v>
      </c>
      <c r="D127" t="s">
        <v>168</v>
      </c>
      <c r="E127">
        <v>0.95637945000000002</v>
      </c>
      <c r="F127">
        <v>1.7491199959999999</v>
      </c>
      <c r="G127">
        <v>1</v>
      </c>
      <c r="H127">
        <v>1.1004059289999999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R127">
        <v>594.54999999999995</v>
      </c>
      <c r="S127">
        <v>566.03424539585922</v>
      </c>
      <c r="T127">
        <v>534.7313329613803</v>
      </c>
      <c r="U127">
        <v>500.18929461255391</v>
      </c>
      <c r="V127">
        <v>461.94018892623842</v>
      </c>
      <c r="W127">
        <v>419.49938919276781</v>
      </c>
      <c r="X127">
        <v>372.36483304743626</v>
      </c>
      <c r="Y127">
        <v>320.0162312398827</v>
      </c>
      <c r="Z127">
        <v>261.91423292154821</v>
      </c>
      <c r="AA127">
        <v>197.49954463763572</v>
      </c>
      <c r="AB127">
        <v>126.19199999999999</v>
      </c>
      <c r="AC127">
        <v>1.8099999999999998</v>
      </c>
      <c r="AD127">
        <v>2.0046045976663551</v>
      </c>
      <c r="AE127">
        <v>2.2379117999433285</v>
      </c>
      <c r="AF127">
        <v>2.5222773335285971</v>
      </c>
      <c r="AG127">
        <v>2.8758985283589289</v>
      </c>
      <c r="AH127">
        <v>3.3267236472925128</v>
      </c>
      <c r="AI127">
        <v>3.9199848588768162</v>
      </c>
      <c r="AJ127">
        <v>4.7339892888994024</v>
      </c>
      <c r="AK127">
        <v>5.9170907717870698</v>
      </c>
      <c r="AL127">
        <v>7.7885294423756788</v>
      </c>
      <c r="AM127">
        <v>11.1839</v>
      </c>
    </row>
    <row r="128" spans="2:39">
      <c r="B128" t="s">
        <v>304</v>
      </c>
      <c r="C128" s="11" t="s">
        <v>1585</v>
      </c>
      <c r="D128" t="s">
        <v>176</v>
      </c>
      <c r="E128">
        <v>0.98808370000000001</v>
      </c>
      <c r="F128">
        <v>1.6933199999999999</v>
      </c>
      <c r="G128">
        <v>1</v>
      </c>
      <c r="H128">
        <v>1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</row>
    <row r="129" spans="2:39" hidden="1">
      <c r="B129" t="s">
        <v>305</v>
      </c>
      <c r="C129" s="11" t="s">
        <v>1586</v>
      </c>
      <c r="D129" t="s">
        <v>168</v>
      </c>
      <c r="E129">
        <v>0.95793444699999997</v>
      </c>
      <c r="F129">
        <v>1.822157123</v>
      </c>
      <c r="G129">
        <v>1</v>
      </c>
      <c r="H129">
        <v>1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R129">
        <v>617.70000000000005</v>
      </c>
      <c r="S129">
        <v>590.04743816061864</v>
      </c>
      <c r="T129">
        <v>558.93424876445317</v>
      </c>
      <c r="U129">
        <v>523.89583674143887</v>
      </c>
      <c r="V129">
        <v>484.45177967899372</v>
      </c>
      <c r="W129">
        <v>440.10514804569755</v>
      </c>
      <c r="X129">
        <v>390.34179007615762</v>
      </c>
      <c r="Y129">
        <v>334.62957915502011</v>
      </c>
      <c r="Z129">
        <v>272.41762138557993</v>
      </c>
      <c r="AA129">
        <v>203.13542086373411</v>
      </c>
      <c r="AB129">
        <v>126.19199999999999</v>
      </c>
      <c r="AC129">
        <v>1.6400000000000001</v>
      </c>
      <c r="AD129">
        <v>1.8393260681816888</v>
      </c>
      <c r="AE129">
        <v>2.0802143500456758</v>
      </c>
      <c r="AF129">
        <v>2.3759572429120093</v>
      </c>
      <c r="AG129">
        <v>2.7459906250705641</v>
      </c>
      <c r="AH129">
        <v>3.2198588975194999</v>
      </c>
      <c r="AI129">
        <v>3.844690897751661</v>
      </c>
      <c r="AJ129">
        <v>4.7004352735768755</v>
      </c>
      <c r="AK129">
        <v>5.9342045886020323</v>
      </c>
      <c r="AL129">
        <v>7.8490525545300258</v>
      </c>
      <c r="AM129">
        <v>11.1839</v>
      </c>
    </row>
    <row r="130" spans="2:39" hidden="1">
      <c r="B130" t="s">
        <v>306</v>
      </c>
      <c r="C130" s="11" t="s">
        <v>1587</v>
      </c>
      <c r="D130" t="s">
        <v>168</v>
      </c>
      <c r="E130">
        <v>0.92700000000000005</v>
      </c>
      <c r="F130">
        <v>1.9490000000000001</v>
      </c>
      <c r="G130">
        <v>1</v>
      </c>
      <c r="H130">
        <v>1</v>
      </c>
      <c r="I130">
        <v>0.89800000000000002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R130">
        <v>658.1</v>
      </c>
      <c r="S130">
        <v>629.3787102017742</v>
      </c>
      <c r="T130">
        <v>597.6657394860398</v>
      </c>
      <c r="U130">
        <v>562.13814283992906</v>
      </c>
      <c r="V130">
        <v>521.92390854648011</v>
      </c>
      <c r="W130">
        <v>476.09824595171074</v>
      </c>
      <c r="X130">
        <v>423.67953102658356</v>
      </c>
      <c r="Y130">
        <v>363.6248723464829</v>
      </c>
      <c r="Z130">
        <v>294.82525537111115</v>
      </c>
      <c r="AA130">
        <v>216.100217480933</v>
      </c>
      <c r="AB130">
        <v>126.19199999999999</v>
      </c>
      <c r="AC130">
        <v>1.33</v>
      </c>
      <c r="AD130">
        <v>1.5013285320455627</v>
      </c>
      <c r="AE130">
        <v>1.710513883731172</v>
      </c>
      <c r="AF130">
        <v>1.9704107024551487</v>
      </c>
      <c r="AG130">
        <v>2.3002092549124122</v>
      </c>
      <c r="AH130">
        <v>2.7298270429436622</v>
      </c>
      <c r="AI130">
        <v>3.3085198184436186</v>
      </c>
      <c r="AJ130">
        <v>4.1233333901571205</v>
      </c>
      <c r="AK130">
        <v>5.3435826832774787</v>
      </c>
      <c r="AL130">
        <v>7.3473027216469839</v>
      </c>
      <c r="AM130">
        <v>11.1839</v>
      </c>
    </row>
    <row r="131" spans="2:39" hidden="1">
      <c r="B131" t="s">
        <v>307</v>
      </c>
      <c r="C131" s="11" t="s">
        <v>1588</v>
      </c>
      <c r="D131" t="s">
        <v>168</v>
      </c>
      <c r="E131">
        <v>1</v>
      </c>
      <c r="F131">
        <v>0.95421574600000003</v>
      </c>
      <c r="G131">
        <v>1</v>
      </c>
      <c r="H131">
        <v>1.1597206229999999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R131">
        <v>150.68700000000001</v>
      </c>
      <c r="S131">
        <v>147.68774624149808</v>
      </c>
      <c r="T131">
        <v>144.95883776266325</v>
      </c>
      <c r="U131">
        <v>142.50027456349548</v>
      </c>
      <c r="V131">
        <v>140.31205664399482</v>
      </c>
      <c r="W131">
        <v>138.39418400416127</v>
      </c>
      <c r="X131">
        <v>136.74665664399484</v>
      </c>
      <c r="Y131">
        <v>135.36947456349549</v>
      </c>
      <c r="Z131">
        <v>134.26263776266325</v>
      </c>
      <c r="AA131">
        <v>133.42614624149809</v>
      </c>
      <c r="AB131">
        <v>132.86000000000001</v>
      </c>
      <c r="AC131">
        <v>13.407429649999999</v>
      </c>
      <c r="AD131">
        <v>12.710371671487129</v>
      </c>
      <c r="AE131">
        <v>12.158350627500692</v>
      </c>
      <c r="AF131">
        <v>11.723083459224259</v>
      </c>
      <c r="AG131">
        <v>11.384687670215513</v>
      </c>
      <c r="AH131">
        <v>11.129106952089911</v>
      </c>
      <c r="AI131">
        <v>10.946505165534246</v>
      </c>
      <c r="AJ131">
        <v>10.830253221873152</v>
      </c>
      <c r="AK131">
        <v>10.776299815126675</v>
      </c>
      <c r="AL131">
        <v>10.782808724274886</v>
      </c>
      <c r="AM131">
        <v>10.85</v>
      </c>
    </row>
    <row r="132" spans="2:39">
      <c r="B132" t="s">
        <v>308</v>
      </c>
      <c r="C132" s="11" t="s">
        <v>1589</v>
      </c>
      <c r="D132" t="s">
        <v>176</v>
      </c>
      <c r="E132">
        <v>1</v>
      </c>
      <c r="F132">
        <v>0.99342538800000002</v>
      </c>
      <c r="G132">
        <v>1</v>
      </c>
      <c r="H132">
        <v>1.008690943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</row>
    <row r="133" spans="2:39">
      <c r="B133" t="s">
        <v>309</v>
      </c>
      <c r="C133" s="11" t="s">
        <v>1590</v>
      </c>
      <c r="D133" t="s">
        <v>176</v>
      </c>
      <c r="E133">
        <v>0.96488996973700003</v>
      </c>
      <c r="F133">
        <v>1.09111</v>
      </c>
      <c r="G133">
        <v>1</v>
      </c>
      <c r="H133">
        <v>1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</row>
    <row r="134" spans="2:39" hidden="1">
      <c r="B134" t="s">
        <v>310</v>
      </c>
      <c r="C134" s="11" t="s">
        <v>1591</v>
      </c>
      <c r="D134" t="s">
        <v>168</v>
      </c>
      <c r="E134">
        <v>1</v>
      </c>
      <c r="F134">
        <v>1.069224728</v>
      </c>
      <c r="G134">
        <v>1</v>
      </c>
      <c r="H134">
        <v>1.2014178980000001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R134">
        <v>305.322</v>
      </c>
      <c r="S134">
        <v>287.40244600657968</v>
      </c>
      <c r="T134">
        <v>269.63252623391952</v>
      </c>
      <c r="U134">
        <v>252.0122406820193</v>
      </c>
      <c r="V134">
        <v>234.54158935087918</v>
      </c>
      <c r="W134">
        <v>217.22057224049917</v>
      </c>
      <c r="X134">
        <v>200.0491893508792</v>
      </c>
      <c r="Y134">
        <v>183.02744068201929</v>
      </c>
      <c r="Z134">
        <v>166.15532623391948</v>
      </c>
      <c r="AA134">
        <v>149.43284600657969</v>
      </c>
      <c r="AB134">
        <v>132.86000000000001</v>
      </c>
      <c r="AC134">
        <v>6.8568866850000001</v>
      </c>
      <c r="AD134">
        <v>6.9279046411511587</v>
      </c>
      <c r="AE134">
        <v>7.0428345679018483</v>
      </c>
      <c r="AF134">
        <v>7.2060505338434035</v>
      </c>
      <c r="AG134">
        <v>7.4241393284934079</v>
      </c>
      <c r="AH134">
        <v>7.7066114795168748</v>
      </c>
      <c r="AI134">
        <v>8.0670421944481614</v>
      </c>
      <c r="AJ134">
        <v>8.5249225758719955</v>
      </c>
      <c r="AK134">
        <v>9.1087494109472598</v>
      </c>
      <c r="AL134">
        <v>9.8613998249290251</v>
      </c>
      <c r="AM134">
        <v>10.85</v>
      </c>
    </row>
    <row r="135" spans="2:39" hidden="1">
      <c r="B135" t="s">
        <v>311</v>
      </c>
      <c r="C135" s="11" t="s">
        <v>1592</v>
      </c>
      <c r="D135" t="s">
        <v>168</v>
      </c>
      <c r="E135">
        <v>0.99324500000000004</v>
      </c>
      <c r="F135">
        <v>1.068392</v>
      </c>
      <c r="G135">
        <v>1.0308550000000001</v>
      </c>
      <c r="H135">
        <v>1.2454989999999999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R135">
        <v>304.12819999999999</v>
      </c>
      <c r="S135">
        <v>286.12012157276189</v>
      </c>
      <c r="T135">
        <v>268.40015774300758</v>
      </c>
      <c r="U135">
        <v>250.93403121373802</v>
      </c>
      <c r="V135">
        <v>233.68727907943043</v>
      </c>
      <c r="W135">
        <v>216.62525156801729</v>
      </c>
      <c r="X135">
        <v>199.71311077262101</v>
      </c>
      <c r="Y135">
        <v>182.91582937294436</v>
      </c>
      <c r="Z135">
        <v>166.19818934621938</v>
      </c>
      <c r="AA135">
        <v>149.52478066761452</v>
      </c>
      <c r="AB135">
        <v>132.86000000000001</v>
      </c>
      <c r="AC135">
        <v>10.624906299999999</v>
      </c>
      <c r="AD135">
        <v>10.147274841809416</v>
      </c>
      <c r="AE135">
        <v>9.8313371785014709</v>
      </c>
      <c r="AF135">
        <v>9.6421470276216574</v>
      </c>
      <c r="AG135">
        <v>9.5578753383951423</v>
      </c>
      <c r="AH135">
        <v>9.5651263703692546</v>
      </c>
      <c r="AI135">
        <v>9.656340105890477</v>
      </c>
      <c r="AJ135">
        <v>9.828340345597157</v>
      </c>
      <c r="AK135">
        <v>10.081566884733448</v>
      </c>
      <c r="AL135">
        <v>10.419761430954665</v>
      </c>
      <c r="AM135">
        <v>10.85</v>
      </c>
    </row>
    <row r="136" spans="2:39" hidden="1">
      <c r="B136" t="s">
        <v>312</v>
      </c>
      <c r="C136" s="11" t="s">
        <v>1593</v>
      </c>
      <c r="D136" t="s">
        <v>168</v>
      </c>
      <c r="E136">
        <v>1.0255367360000001</v>
      </c>
      <c r="F136">
        <v>1.0227497480000001</v>
      </c>
      <c r="G136">
        <v>0.79566039200000005</v>
      </c>
      <c r="H136">
        <v>1.101731308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R136">
        <v>373.1</v>
      </c>
      <c r="S136">
        <v>345.35750123366705</v>
      </c>
      <c r="T136">
        <v>318.06072966812673</v>
      </c>
      <c r="U136">
        <v>291.35750138717822</v>
      </c>
      <c r="V136">
        <v>265.3926361198512</v>
      </c>
      <c r="W136">
        <v>240.30803278083752</v>
      </c>
      <c r="X136">
        <v>216.24274273706973</v>
      </c>
      <c r="Y136">
        <v>193.33304087989907</v>
      </c>
      <c r="Z136">
        <v>171.71249457917139</v>
      </c>
      <c r="AA136">
        <v>151.5120305924809</v>
      </c>
      <c r="AB136">
        <v>132.86000000000001</v>
      </c>
      <c r="AC136">
        <v>10.19</v>
      </c>
      <c r="AD136">
        <v>10.417554872242601</v>
      </c>
      <c r="AE136">
        <v>10.494421081826824</v>
      </c>
      <c r="AF136">
        <v>10.4456578531</v>
      </c>
      <c r="AG136">
        <v>10.311044066729615</v>
      </c>
      <c r="AH136">
        <v>10.138528046207799</v>
      </c>
      <c r="AI136">
        <v>9.9796790498330576</v>
      </c>
      <c r="AJ136">
        <v>9.889468498884801</v>
      </c>
      <c r="AK136">
        <v>9.932405759431937</v>
      </c>
      <c r="AL136">
        <v>10.199434527927011</v>
      </c>
      <c r="AM136">
        <v>10.85</v>
      </c>
    </row>
    <row r="137" spans="2:39">
      <c r="B137" t="s">
        <v>313</v>
      </c>
      <c r="C137" s="11" t="s">
        <v>1594</v>
      </c>
      <c r="D137" t="s">
        <v>176</v>
      </c>
      <c r="E137">
        <v>1</v>
      </c>
      <c r="F137">
        <v>1.1839999999999999</v>
      </c>
      <c r="G137">
        <v>1</v>
      </c>
      <c r="H137">
        <v>1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</row>
    <row r="138" spans="2:39" hidden="1">
      <c r="B138" t="s">
        <v>314</v>
      </c>
      <c r="C138" s="11" t="s">
        <v>1595</v>
      </c>
      <c r="D138" t="s">
        <v>168</v>
      </c>
      <c r="E138">
        <v>1</v>
      </c>
      <c r="F138">
        <v>1.197564208</v>
      </c>
      <c r="G138">
        <v>1</v>
      </c>
      <c r="H138">
        <v>1.1081436730000001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R138">
        <v>369.89</v>
      </c>
      <c r="S138">
        <v>348.72594597759394</v>
      </c>
      <c r="T138">
        <v>326.99768173794479</v>
      </c>
      <c r="U138">
        <v>304.70520728105237</v>
      </c>
      <c r="V138">
        <v>281.84852260691707</v>
      </c>
      <c r="W138">
        <v>258.42762771553862</v>
      </c>
      <c r="X138">
        <v>234.44252260691707</v>
      </c>
      <c r="Y138">
        <v>209.89320728105247</v>
      </c>
      <c r="Z138">
        <v>184.77968173794471</v>
      </c>
      <c r="AA138">
        <v>159.10194597759391</v>
      </c>
      <c r="AB138">
        <v>132.86000000000001</v>
      </c>
      <c r="AC138">
        <v>5</v>
      </c>
      <c r="AD138">
        <v>5.244201845042304</v>
      </c>
      <c r="AE138">
        <v>5.5234317840427396</v>
      </c>
      <c r="AF138">
        <v>5.8452107706122467</v>
      </c>
      <c r="AG138">
        <v>6.2194127321970178</v>
      </c>
      <c r="AH138">
        <v>6.6592602313645397</v>
      </c>
      <c r="AI138">
        <v>7.1828726820732314</v>
      </c>
      <c r="AJ138">
        <v>7.8157613139983306</v>
      </c>
      <c r="AK138">
        <v>8.5950229439594139</v>
      </c>
      <c r="AL138">
        <v>9.5767547626553302</v>
      </c>
      <c r="AM138">
        <v>10.85</v>
      </c>
    </row>
    <row r="139" spans="2:39" hidden="1">
      <c r="B139" t="s">
        <v>315</v>
      </c>
      <c r="C139" s="11" t="s">
        <v>1596</v>
      </c>
      <c r="D139" t="s">
        <v>168</v>
      </c>
      <c r="E139">
        <v>1</v>
      </c>
      <c r="F139">
        <v>1.161390082</v>
      </c>
      <c r="G139">
        <v>1</v>
      </c>
      <c r="H139">
        <v>1.0872722319999999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R139">
        <v>407.81</v>
      </c>
      <c r="S139">
        <v>380.31521237931958</v>
      </c>
      <c r="T139">
        <v>352.8203775632349</v>
      </c>
      <c r="U139">
        <v>325.32549555174569</v>
      </c>
      <c r="V139">
        <v>297.83056634485223</v>
      </c>
      <c r="W139">
        <v>270.33558994255441</v>
      </c>
      <c r="X139">
        <v>242.84056634485225</v>
      </c>
      <c r="Y139">
        <v>215.34549555174573</v>
      </c>
      <c r="Z139">
        <v>187.85037756323482</v>
      </c>
      <c r="AA139">
        <v>160.3552123793196</v>
      </c>
      <c r="AB139">
        <v>132.86000000000001</v>
      </c>
      <c r="AC139">
        <v>3.8797567879999999</v>
      </c>
      <c r="AD139">
        <v>4.1456934807922696</v>
      </c>
      <c r="AE139">
        <v>4.450876955233027</v>
      </c>
      <c r="AF139">
        <v>4.8046873372597778</v>
      </c>
      <c r="AG139">
        <v>5.2197526888026617</v>
      </c>
      <c r="AH139">
        <v>5.713488006596374</v>
      </c>
      <c r="AI139">
        <v>6.3106009179710796</v>
      </c>
      <c r="AJ139">
        <v>7.0473553264612274</v>
      </c>
      <c r="AK139">
        <v>7.9792224397744853</v>
      </c>
      <c r="AL139">
        <v>9.1955381193303634</v>
      </c>
      <c r="AM139">
        <v>10.85</v>
      </c>
    </row>
    <row r="140" spans="2:39">
      <c r="B140" t="s">
        <v>1183</v>
      </c>
      <c r="C140" s="11" t="s">
        <v>1597</v>
      </c>
      <c r="D140" t="s">
        <v>176</v>
      </c>
      <c r="E140">
        <v>1</v>
      </c>
      <c r="F140">
        <v>1.177903242</v>
      </c>
      <c r="G140">
        <v>1</v>
      </c>
      <c r="H140">
        <v>1.0072414300000001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</row>
    <row r="141" spans="2:39">
      <c r="B141" t="s">
        <v>316</v>
      </c>
      <c r="C141" s="11" t="s">
        <v>1598</v>
      </c>
      <c r="D141" t="s">
        <v>176</v>
      </c>
      <c r="E141">
        <v>1</v>
      </c>
      <c r="F141">
        <v>1.3077000000000001</v>
      </c>
      <c r="G141">
        <v>1</v>
      </c>
      <c r="H141">
        <v>1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</row>
    <row r="142" spans="2:39" hidden="1">
      <c r="B142" t="s">
        <v>317</v>
      </c>
      <c r="C142" s="11" t="s">
        <v>1599</v>
      </c>
      <c r="D142" t="s">
        <v>168</v>
      </c>
      <c r="E142">
        <v>1</v>
      </c>
      <c r="F142">
        <v>1.173916162</v>
      </c>
      <c r="G142">
        <v>1</v>
      </c>
      <c r="H142">
        <v>1.084740904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R142">
        <v>425.125</v>
      </c>
      <c r="S142">
        <v>395.89849998155881</v>
      </c>
      <c r="T142">
        <v>366.67199996721564</v>
      </c>
      <c r="U142">
        <v>337.44549995697042</v>
      </c>
      <c r="V142">
        <v>308.21899995082333</v>
      </c>
      <c r="W142">
        <v>278.99249994877437</v>
      </c>
      <c r="X142">
        <v>249.76599995082339</v>
      </c>
      <c r="Y142">
        <v>220.53949995697047</v>
      </c>
      <c r="Z142">
        <v>191.3129999672156</v>
      </c>
      <c r="AA142">
        <v>162.08649998155877</v>
      </c>
      <c r="AB142">
        <v>132.86000000000001</v>
      </c>
      <c r="AC142">
        <v>3.9227696129999998</v>
      </c>
      <c r="AD142">
        <v>4.1902432856290668</v>
      </c>
      <c r="AE142">
        <v>4.496876182324975</v>
      </c>
      <c r="AF142">
        <v>4.8519471335255133</v>
      </c>
      <c r="AG142">
        <v>5.2679178759877523</v>
      </c>
      <c r="AH142">
        <v>5.7619258573096914</v>
      </c>
      <c r="AI142">
        <v>6.3582041688027271</v>
      </c>
      <c r="AJ142">
        <v>7.0921779460136989</v>
      </c>
      <c r="AK142">
        <v>8.017769091444201</v>
      </c>
      <c r="AL142">
        <v>9.2212810109205225</v>
      </c>
      <c r="AM142">
        <v>10.85</v>
      </c>
    </row>
    <row r="143" spans="2:39" hidden="1">
      <c r="B143" t="s">
        <v>318</v>
      </c>
      <c r="C143" s="11" t="s">
        <v>1600</v>
      </c>
      <c r="D143" t="s">
        <v>168</v>
      </c>
      <c r="E143">
        <v>1</v>
      </c>
      <c r="F143">
        <v>1.1993260590000001</v>
      </c>
      <c r="G143">
        <v>1</v>
      </c>
      <c r="H143">
        <v>1.1166945770000001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R143">
        <v>460.35</v>
      </c>
      <c r="S143">
        <v>427.6010000123153</v>
      </c>
      <c r="T143">
        <v>394.8520000218939</v>
      </c>
      <c r="U143">
        <v>362.10300002873566</v>
      </c>
      <c r="V143">
        <v>329.35400003284076</v>
      </c>
      <c r="W143">
        <v>296.60500003420913</v>
      </c>
      <c r="X143">
        <v>263.85600003284083</v>
      </c>
      <c r="Y143">
        <v>231.10700002873568</v>
      </c>
      <c r="Z143">
        <v>198.35800002189384</v>
      </c>
      <c r="AA143">
        <v>165.60900001231528</v>
      </c>
      <c r="AB143">
        <v>132.86000000000001</v>
      </c>
      <c r="AC143">
        <v>3.2709999999999999</v>
      </c>
      <c r="AD143">
        <v>3.5166466842039799</v>
      </c>
      <c r="AE143">
        <v>3.8021844403570833</v>
      </c>
      <c r="AF143">
        <v>4.138188963136102</v>
      </c>
      <c r="AG143">
        <v>4.5393366936581314</v>
      </c>
      <c r="AH143">
        <v>5.0266057653949563</v>
      </c>
      <c r="AI143">
        <v>5.6310649584404562</v>
      </c>
      <c r="AJ143">
        <v>6.4007701060523905</v>
      </c>
      <c r="AK143">
        <v>7.4142120009616193</v>
      </c>
      <c r="AL143">
        <v>8.8089428886657934</v>
      </c>
      <c r="AM143">
        <v>10.85</v>
      </c>
    </row>
    <row r="144" spans="2:39" hidden="1">
      <c r="B144" t="s">
        <v>319</v>
      </c>
      <c r="C144" s="11" t="s">
        <v>1601</v>
      </c>
      <c r="D144" t="s">
        <v>168</v>
      </c>
      <c r="E144">
        <v>1</v>
      </c>
      <c r="F144">
        <v>1.206043295</v>
      </c>
      <c r="G144">
        <v>1</v>
      </c>
      <c r="H144">
        <v>1.1199544539999999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R144">
        <v>469.65899999999999</v>
      </c>
      <c r="S144">
        <v>435.98042307205111</v>
      </c>
      <c r="T144">
        <v>402.30155212809092</v>
      </c>
      <c r="U144">
        <v>368.62238716811925</v>
      </c>
      <c r="V144">
        <v>334.94292819213626</v>
      </c>
      <c r="W144">
        <v>301.26317520014197</v>
      </c>
      <c r="X144">
        <v>267.58312819213631</v>
      </c>
      <c r="Y144">
        <v>233.90278716811929</v>
      </c>
      <c r="Z144">
        <v>200.2221521280909</v>
      </c>
      <c r="AA144">
        <v>166.54122307205114</v>
      </c>
      <c r="AB144">
        <v>132.86000000000001</v>
      </c>
      <c r="AC144">
        <v>3.2599099999999996</v>
      </c>
      <c r="AD144">
        <v>3.5040768607225856</v>
      </c>
      <c r="AE144">
        <v>3.7880491622724093</v>
      </c>
      <c r="AF144">
        <v>4.1224243027046157</v>
      </c>
      <c r="AG144">
        <v>4.5219278175199724</v>
      </c>
      <c r="AH144">
        <v>5.0076403622577299</v>
      </c>
      <c r="AI144">
        <v>5.6108407038929515</v>
      </c>
      <c r="AJ144">
        <v>6.3800210438241489</v>
      </c>
      <c r="AK144">
        <v>7.3946172235705729</v>
      </c>
      <c r="AL144">
        <v>8.794375628369929</v>
      </c>
      <c r="AM144">
        <v>10.85</v>
      </c>
    </row>
    <row r="145" spans="2:39" hidden="1">
      <c r="B145" t="s">
        <v>320</v>
      </c>
      <c r="C145" s="11" t="s">
        <v>1602</v>
      </c>
      <c r="D145" t="s">
        <v>168</v>
      </c>
      <c r="E145">
        <v>1</v>
      </c>
      <c r="F145">
        <v>1.2332727809999999</v>
      </c>
      <c r="G145">
        <v>1</v>
      </c>
      <c r="H145">
        <v>1.155145836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R145">
        <v>507.82</v>
      </c>
      <c r="S145">
        <v>470.32399998319983</v>
      </c>
      <c r="T145">
        <v>432.82799997013302</v>
      </c>
      <c r="U145">
        <v>395.33199996079946</v>
      </c>
      <c r="V145">
        <v>357.83599995519944</v>
      </c>
      <c r="W145">
        <v>320.33999995333284</v>
      </c>
      <c r="X145">
        <v>282.84399995519948</v>
      </c>
      <c r="Y145">
        <v>245.34799996079954</v>
      </c>
      <c r="Z145">
        <v>207.85199997013299</v>
      </c>
      <c r="AA145">
        <v>170.35599998319981</v>
      </c>
      <c r="AB145">
        <v>132.86000000000001</v>
      </c>
      <c r="AC145">
        <v>2.706</v>
      </c>
      <c r="AD145">
        <v>2.9255918855916905</v>
      </c>
      <c r="AE145">
        <v>3.1839719142045171</v>
      </c>
      <c r="AF145">
        <v>3.4924128365830431</v>
      </c>
      <c r="AG145">
        <v>3.8670241293242227</v>
      </c>
      <c r="AH145">
        <v>4.3316577627412878</v>
      </c>
      <c r="AI145">
        <v>4.9231948903966156</v>
      </c>
      <c r="AJ145">
        <v>5.7018494603661463</v>
      </c>
      <c r="AK145">
        <v>6.7730866999258046</v>
      </c>
      <c r="AL145">
        <v>8.3399654218905042</v>
      </c>
      <c r="AM145">
        <v>10.85</v>
      </c>
    </row>
    <row r="146" spans="2:39">
      <c r="B146" t="s">
        <v>321</v>
      </c>
      <c r="C146" s="11" t="s">
        <v>1603</v>
      </c>
      <c r="D146" t="s">
        <v>176</v>
      </c>
      <c r="E146">
        <v>1</v>
      </c>
      <c r="F146">
        <v>1.56</v>
      </c>
      <c r="G146">
        <v>1</v>
      </c>
      <c r="H146">
        <v>1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</row>
    <row r="147" spans="2:39">
      <c r="B147" t="s">
        <v>322</v>
      </c>
      <c r="C147" s="11" t="s">
        <v>1604</v>
      </c>
      <c r="D147" t="s">
        <v>176</v>
      </c>
      <c r="E147">
        <v>1</v>
      </c>
      <c r="F147">
        <v>1.4350000000000001</v>
      </c>
      <c r="G147">
        <v>1</v>
      </c>
      <c r="H147">
        <v>1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</row>
    <row r="148" spans="2:39">
      <c r="B148" t="s">
        <v>323</v>
      </c>
      <c r="C148" s="11" t="s">
        <v>1605</v>
      </c>
      <c r="D148" t="s">
        <v>176</v>
      </c>
      <c r="E148">
        <v>0.99170000000000003</v>
      </c>
      <c r="F148">
        <v>1.4608000000000001</v>
      </c>
      <c r="G148">
        <v>1</v>
      </c>
      <c r="H148">
        <v>1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</row>
    <row r="149" spans="2:39" hidden="1">
      <c r="B149" t="s">
        <v>324</v>
      </c>
      <c r="C149" s="11" t="s">
        <v>1606</v>
      </c>
      <c r="D149" t="s">
        <v>168</v>
      </c>
      <c r="E149">
        <v>1</v>
      </c>
      <c r="F149">
        <v>1.256123503</v>
      </c>
      <c r="G149">
        <v>1</v>
      </c>
      <c r="H149">
        <v>1.1903542730000001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R149">
        <v>540.20000000000005</v>
      </c>
      <c r="S149">
        <v>499.46362471956979</v>
      </c>
      <c r="T149">
        <v>458.72777727923517</v>
      </c>
      <c r="U149">
        <v>417.99245767899595</v>
      </c>
      <c r="V149">
        <v>377.25766591885258</v>
      </c>
      <c r="W149">
        <v>336.52340199880479</v>
      </c>
      <c r="X149">
        <v>295.78966591885262</v>
      </c>
      <c r="Y149">
        <v>255.05645767899603</v>
      </c>
      <c r="Z149">
        <v>214.32377727923506</v>
      </c>
      <c r="AA149">
        <v>173.59162471956972</v>
      </c>
      <c r="AB149">
        <v>132.86000000000001</v>
      </c>
      <c r="AC149">
        <v>2.33</v>
      </c>
      <c r="AD149">
        <v>2.5281802673760518</v>
      </c>
      <c r="AE149">
        <v>2.7633070362643259</v>
      </c>
      <c r="AF149">
        <v>3.046774148307704</v>
      </c>
      <c r="AG149">
        <v>3.3951971763051518</v>
      </c>
      <c r="AH149">
        <v>3.8337918653341965</v>
      </c>
      <c r="AI149">
        <v>4.4027654440789217</v>
      </c>
      <c r="AJ149">
        <v>5.1704027237889152</v>
      </c>
      <c r="AK149">
        <v>6.2627588565297971</v>
      </c>
      <c r="AL149">
        <v>7.9411406292134634</v>
      </c>
      <c r="AM149">
        <v>10.85</v>
      </c>
    </row>
    <row r="150" spans="2:39" hidden="1">
      <c r="B150" t="s">
        <v>325</v>
      </c>
      <c r="C150" s="11" t="s">
        <v>1607</v>
      </c>
      <c r="D150" t="s">
        <v>298</v>
      </c>
      <c r="E150">
        <v>0.95609</v>
      </c>
      <c r="F150">
        <v>0.82398400000000005</v>
      </c>
      <c r="G150">
        <v>0.94042599999999998</v>
      </c>
      <c r="H150">
        <v>0.76675599999999999</v>
      </c>
      <c r="I150">
        <v>0.98970000000000002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</row>
    <row r="151" spans="2:39">
      <c r="B151" t="s">
        <v>326</v>
      </c>
      <c r="C151" s="11" t="s">
        <v>1608</v>
      </c>
      <c r="D151" t="s">
        <v>176</v>
      </c>
      <c r="E151">
        <v>1</v>
      </c>
      <c r="F151">
        <v>1.4990000000000001</v>
      </c>
      <c r="G151">
        <v>1</v>
      </c>
      <c r="H151">
        <v>1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</row>
    <row r="152" spans="2:39" hidden="1">
      <c r="B152" t="s">
        <v>327</v>
      </c>
      <c r="C152" s="11" t="s">
        <v>1609</v>
      </c>
      <c r="D152" t="s">
        <v>168</v>
      </c>
      <c r="E152">
        <v>1</v>
      </c>
      <c r="F152">
        <v>1.2765655359999999</v>
      </c>
      <c r="G152">
        <v>1</v>
      </c>
      <c r="H152">
        <v>1.2192067019999999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R152">
        <v>568.74</v>
      </c>
      <c r="S152">
        <v>525.17200094961504</v>
      </c>
      <c r="T152">
        <v>481.59955724376016</v>
      </c>
      <c r="U152">
        <v>438.02266888243503</v>
      </c>
      <c r="V152">
        <v>394.4413358656401</v>
      </c>
      <c r="W152">
        <v>350.85555819337509</v>
      </c>
      <c r="X152">
        <v>307.26533586564011</v>
      </c>
      <c r="Y152">
        <v>263.67066888243511</v>
      </c>
      <c r="Z152">
        <v>220.07155724376008</v>
      </c>
      <c r="AA152">
        <v>176.46800094961503</v>
      </c>
      <c r="AB152">
        <v>132.86000000000001</v>
      </c>
      <c r="AC152">
        <v>2.0310000000000001</v>
      </c>
      <c r="AD152">
        <v>2.2113443693498649</v>
      </c>
      <c r="AE152">
        <v>2.4266615068684736</v>
      </c>
      <c r="AF152">
        <v>2.6882164575916447</v>
      </c>
      <c r="AG152">
        <v>3.0126943119346059</v>
      </c>
      <c r="AH152">
        <v>3.4259056537285923</v>
      </c>
      <c r="AI152">
        <v>3.9700133952901062</v>
      </c>
      <c r="AJ152">
        <v>4.7189199696067226</v>
      </c>
      <c r="AK152">
        <v>5.8150572474423949</v>
      </c>
      <c r="AL152">
        <v>7.5727923361273541</v>
      </c>
      <c r="AM152">
        <v>10.85</v>
      </c>
    </row>
    <row r="153" spans="2:39">
      <c r="B153" t="s">
        <v>328</v>
      </c>
      <c r="C153" s="11" t="s">
        <v>1610</v>
      </c>
      <c r="D153" t="s">
        <v>176</v>
      </c>
      <c r="E153">
        <v>0.98181000601799995</v>
      </c>
      <c r="F153">
        <v>1.6215299999999999</v>
      </c>
      <c r="G153">
        <v>1</v>
      </c>
      <c r="H153">
        <v>1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</row>
    <row r="154" spans="2:39">
      <c r="B154" t="s">
        <v>329</v>
      </c>
      <c r="C154" s="11" t="s">
        <v>1611</v>
      </c>
      <c r="D154" t="s">
        <v>176</v>
      </c>
      <c r="E154">
        <v>0.98439003502</v>
      </c>
      <c r="F154">
        <v>1.5974999999999999</v>
      </c>
      <c r="G154">
        <v>1</v>
      </c>
      <c r="H154">
        <v>1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</row>
    <row r="155" spans="2:39" hidden="1">
      <c r="B155" t="s">
        <v>330</v>
      </c>
      <c r="C155" s="11" t="s">
        <v>1612</v>
      </c>
      <c r="D155" t="s">
        <v>168</v>
      </c>
      <c r="E155">
        <v>1</v>
      </c>
      <c r="F155">
        <v>1.2940705560000001</v>
      </c>
      <c r="G155">
        <v>1</v>
      </c>
      <c r="H155">
        <v>1.2521514490000001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R155">
        <v>594.54999999999995</v>
      </c>
      <c r="S155">
        <v>548.38100001062458</v>
      </c>
      <c r="T155">
        <v>502.21200001888832</v>
      </c>
      <c r="U155">
        <v>456.04300002479079</v>
      </c>
      <c r="V155">
        <v>409.87400002833238</v>
      </c>
      <c r="W155">
        <v>363.70500002951292</v>
      </c>
      <c r="X155">
        <v>317.53600002833241</v>
      </c>
      <c r="Y155">
        <v>271.36700002479091</v>
      </c>
      <c r="Z155">
        <v>225.19800001888825</v>
      </c>
      <c r="AA155">
        <v>179.02900001062466</v>
      </c>
      <c r="AB155">
        <v>132.86000000000001</v>
      </c>
      <c r="AC155">
        <v>1.8099999999999998</v>
      </c>
      <c r="AD155">
        <v>1.9745123667938667</v>
      </c>
      <c r="AE155">
        <v>2.1719199292477032</v>
      </c>
      <c r="AF155">
        <v>2.4131850577999332</v>
      </c>
      <c r="AG155">
        <v>2.7147497927126385</v>
      </c>
      <c r="AH155">
        <v>3.1024486572788694</v>
      </c>
      <c r="AI155">
        <v>3.6193328419911981</v>
      </c>
      <c r="AJ155">
        <v>4.3428792571155252</v>
      </c>
      <c r="AK155">
        <v>5.4279988945948388</v>
      </c>
      <c r="AL155">
        <v>7.2359985263386166</v>
      </c>
      <c r="AM155">
        <v>10.85</v>
      </c>
    </row>
    <row r="156" spans="2:39" hidden="1">
      <c r="B156" t="s">
        <v>331</v>
      </c>
      <c r="C156" s="11" t="s">
        <v>1613</v>
      </c>
      <c r="D156" t="s">
        <v>168</v>
      </c>
      <c r="E156">
        <v>0.95274877511</v>
      </c>
      <c r="F156">
        <v>1.8035675870000001</v>
      </c>
      <c r="G156">
        <v>1</v>
      </c>
      <c r="H156">
        <v>0.87018496000000001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R156">
        <v>617.70000000000005</v>
      </c>
      <c r="S156">
        <v>591.09803956405199</v>
      </c>
      <c r="T156">
        <v>561.12799107545482</v>
      </c>
      <c r="U156">
        <v>527.26661496266161</v>
      </c>
      <c r="V156">
        <v>488.97061990781765</v>
      </c>
      <c r="W156">
        <v>445.6756930188335</v>
      </c>
      <c r="X156">
        <v>396.79547316331355</v>
      </c>
      <c r="Y156">
        <v>341.7204635397423</v>
      </c>
      <c r="Z156">
        <v>279.81687924854873</v>
      </c>
      <c r="AA156">
        <v>210.42542528455556</v>
      </c>
      <c r="AB156">
        <v>132.86000000000001</v>
      </c>
      <c r="AC156">
        <v>1.6400000000000001</v>
      </c>
      <c r="AD156">
        <v>1.8593982450997419</v>
      </c>
      <c r="AE156">
        <v>2.1260895257434305</v>
      </c>
      <c r="AF156">
        <v>2.4547580156798579</v>
      </c>
      <c r="AG156">
        <v>2.8662858902671453</v>
      </c>
      <c r="AH156">
        <v>3.3911945143315467</v>
      </c>
      <c r="AI156">
        <v>4.0755524053182679</v>
      </c>
      <c r="AJ156">
        <v>4.9916128470347365</v>
      </c>
      <c r="AK156">
        <v>6.2580979585999046</v>
      </c>
      <c r="AL156">
        <v>8.0817064760659694</v>
      </c>
      <c r="AM156">
        <v>10.85</v>
      </c>
    </row>
    <row r="157" spans="2:39">
      <c r="B157" t="s">
        <v>332</v>
      </c>
      <c r="C157" s="11" t="s">
        <v>1614</v>
      </c>
      <c r="D157" t="s">
        <v>176</v>
      </c>
      <c r="E157">
        <v>0.93300000000000005</v>
      </c>
      <c r="F157">
        <v>1.9410000000000001</v>
      </c>
      <c r="G157">
        <v>1</v>
      </c>
      <c r="H157">
        <v>0.87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</row>
    <row r="158" spans="2:39">
      <c r="B158" t="s">
        <v>333</v>
      </c>
      <c r="C158" s="11" t="s">
        <v>1615</v>
      </c>
      <c r="D158" t="s">
        <v>176</v>
      </c>
      <c r="E158">
        <v>1.000961924409</v>
      </c>
      <c r="F158">
        <v>0.98882199999999998</v>
      </c>
      <c r="G158">
        <v>0.99354000290099997</v>
      </c>
      <c r="H158">
        <v>1.001341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</row>
    <row r="159" spans="2:39">
      <c r="B159" t="s">
        <v>334</v>
      </c>
      <c r="C159" s="11" t="s">
        <v>1616</v>
      </c>
      <c r="D159" t="s">
        <v>176</v>
      </c>
      <c r="E159">
        <v>1</v>
      </c>
      <c r="F159">
        <v>1.0025306</v>
      </c>
      <c r="G159">
        <v>1</v>
      </c>
      <c r="H159">
        <v>1.0037297000000001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</row>
    <row r="160" spans="2:39" hidden="1">
      <c r="B160" t="s">
        <v>335</v>
      </c>
      <c r="C160" s="11" t="s">
        <v>1617</v>
      </c>
      <c r="D160" t="s">
        <v>219</v>
      </c>
      <c r="E160">
        <v>1.0076714280000001</v>
      </c>
      <c r="F160">
        <v>1.098650964</v>
      </c>
      <c r="G160">
        <v>0.97888016799999999</v>
      </c>
      <c r="H160">
        <v>1.0423528909999999</v>
      </c>
      <c r="I160">
        <v>1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</row>
    <row r="161" spans="2:39" hidden="1">
      <c r="B161" t="s">
        <v>336</v>
      </c>
      <c r="C161" s="11" t="s">
        <v>1618</v>
      </c>
      <c r="D161" t="s">
        <v>337</v>
      </c>
      <c r="E161">
        <v>1.0012966792</v>
      </c>
      <c r="F161">
        <v>1.0396748</v>
      </c>
      <c r="G161">
        <v>0.99624822879499997</v>
      </c>
      <c r="H161">
        <v>1.013833</v>
      </c>
      <c r="I161">
        <v>1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</row>
    <row r="162" spans="2:39">
      <c r="B162" t="s">
        <v>338</v>
      </c>
      <c r="C162" s="11" t="s">
        <v>1619</v>
      </c>
      <c r="D162" t="s">
        <v>176</v>
      </c>
      <c r="E162">
        <v>1.004692366</v>
      </c>
      <c r="F162">
        <v>0.96017419999999998</v>
      </c>
      <c r="G162">
        <v>0.91039424899999999</v>
      </c>
      <c r="H162">
        <v>1.256844157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</row>
    <row r="163" spans="2:39">
      <c r="B163" t="s">
        <v>339</v>
      </c>
      <c r="C163" s="11" t="s">
        <v>1620</v>
      </c>
      <c r="D163" t="s">
        <v>176</v>
      </c>
      <c r="E163">
        <v>1</v>
      </c>
      <c r="F163">
        <v>1.1579999999999999</v>
      </c>
      <c r="G163">
        <v>1</v>
      </c>
      <c r="H163">
        <v>1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</row>
    <row r="164" spans="2:39">
      <c r="B164" t="s">
        <v>340</v>
      </c>
      <c r="C164" s="11" t="s">
        <v>1621</v>
      </c>
      <c r="D164" t="s">
        <v>176</v>
      </c>
      <c r="E164">
        <v>1.002677329</v>
      </c>
      <c r="F164">
        <v>1.201264026</v>
      </c>
      <c r="G164">
        <v>0.97442468100000001</v>
      </c>
      <c r="H164">
        <v>1.0810254079999999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</row>
    <row r="165" spans="2:39">
      <c r="B165" t="s">
        <v>341</v>
      </c>
      <c r="C165" s="11" t="s">
        <v>1622</v>
      </c>
      <c r="D165" t="s">
        <v>176</v>
      </c>
      <c r="E165">
        <v>1</v>
      </c>
      <c r="F165">
        <v>1.1883347</v>
      </c>
      <c r="G165">
        <v>1</v>
      </c>
      <c r="H165">
        <v>1.0519798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</row>
    <row r="166" spans="2:39">
      <c r="B166" t="s">
        <v>342</v>
      </c>
      <c r="C166" s="11" t="s">
        <v>1623</v>
      </c>
      <c r="D166" t="s">
        <v>176</v>
      </c>
      <c r="E166">
        <v>0.96620220000000001</v>
      </c>
      <c r="F166">
        <v>1.06504</v>
      </c>
      <c r="G166">
        <v>1</v>
      </c>
      <c r="H166">
        <v>1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</row>
    <row r="167" spans="2:39">
      <c r="B167" t="s">
        <v>343</v>
      </c>
      <c r="C167" s="11" t="s">
        <v>1624</v>
      </c>
      <c r="D167" t="s">
        <v>176</v>
      </c>
      <c r="E167">
        <v>0.99286812999999996</v>
      </c>
      <c r="F167">
        <v>1.284462634</v>
      </c>
      <c r="G167">
        <v>0.98641582999999999</v>
      </c>
      <c r="H167">
        <v>1.100576129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</row>
    <row r="168" spans="2:39" hidden="1">
      <c r="B168" t="s">
        <v>344</v>
      </c>
      <c r="C168" s="11" t="s">
        <v>1625</v>
      </c>
      <c r="D168" t="s">
        <v>168</v>
      </c>
      <c r="E168">
        <v>1</v>
      </c>
      <c r="F168">
        <v>1.2450394979999999</v>
      </c>
      <c r="G168">
        <v>1</v>
      </c>
      <c r="H168">
        <v>1.214638734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R168">
        <v>425.125</v>
      </c>
      <c r="S168">
        <v>402.58016110409983</v>
      </c>
      <c r="T168">
        <v>378.94666418506637</v>
      </c>
      <c r="U168">
        <v>354.22450924289944</v>
      </c>
      <c r="V168">
        <v>328.41369627759946</v>
      </c>
      <c r="W168">
        <v>301.51422528916612</v>
      </c>
      <c r="X168">
        <v>273.52609627759944</v>
      </c>
      <c r="Y168">
        <v>244.44930924289955</v>
      </c>
      <c r="Z168">
        <v>214.28386418506631</v>
      </c>
      <c r="AA168">
        <v>183.0297611040998</v>
      </c>
      <c r="AB168">
        <v>150.68700000000001</v>
      </c>
      <c r="AC168">
        <v>3.9227696129999998</v>
      </c>
      <c r="AD168">
        <v>4.1784283682760837</v>
      </c>
      <c r="AE168">
        <v>4.4805763981355753</v>
      </c>
      <c r="AF168">
        <v>4.8424897252924932</v>
      </c>
      <c r="AG168">
        <v>5.2830737158188095</v>
      </c>
      <c r="AH168">
        <v>5.8301970236227163</v>
      </c>
      <c r="AI168">
        <v>6.5267136702955577</v>
      </c>
      <c r="AJ168">
        <v>7.4420944379348208</v>
      </c>
      <c r="AK168">
        <v>8.6968833749024412</v>
      </c>
      <c r="AL168">
        <v>10.520192104888364</v>
      </c>
      <c r="AM168">
        <v>13.407429649999999</v>
      </c>
    </row>
    <row r="169" spans="2:39">
      <c r="B169" t="s">
        <v>345</v>
      </c>
      <c r="C169" s="11" t="s">
        <v>1626</v>
      </c>
      <c r="D169" t="s">
        <v>176</v>
      </c>
      <c r="E169">
        <v>1.000190036107</v>
      </c>
      <c r="F169">
        <v>1.2870699999999999</v>
      </c>
      <c r="G169">
        <v>1</v>
      </c>
      <c r="H169">
        <v>1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</row>
    <row r="170" spans="2:39">
      <c r="B170" t="s">
        <v>346</v>
      </c>
      <c r="C170" s="11" t="s">
        <v>1627</v>
      </c>
      <c r="D170" t="s">
        <v>176</v>
      </c>
      <c r="E170">
        <v>1</v>
      </c>
      <c r="F170">
        <v>1.3817707699999999</v>
      </c>
      <c r="G170">
        <v>1</v>
      </c>
      <c r="H170">
        <v>1.154135439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</row>
    <row r="171" spans="2:39">
      <c r="B171" t="s">
        <v>347</v>
      </c>
      <c r="C171" s="11" t="s">
        <v>1628</v>
      </c>
      <c r="D171" t="s">
        <v>176</v>
      </c>
      <c r="E171">
        <v>1</v>
      </c>
      <c r="F171">
        <v>1.4190290409999999</v>
      </c>
      <c r="G171">
        <v>1</v>
      </c>
      <c r="H171">
        <v>1.0788771660000001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</row>
    <row r="172" spans="2:39">
      <c r="B172" t="s">
        <v>348</v>
      </c>
      <c r="C172" s="11" t="s">
        <v>1629</v>
      </c>
      <c r="D172" t="s">
        <v>176</v>
      </c>
      <c r="E172">
        <v>0.97979995424300004</v>
      </c>
      <c r="F172">
        <v>1.3601300000000001</v>
      </c>
      <c r="G172">
        <v>1</v>
      </c>
      <c r="H172">
        <v>1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</row>
    <row r="173" spans="2:39">
      <c r="B173" t="s">
        <v>349</v>
      </c>
      <c r="C173" s="11" t="s">
        <v>1630</v>
      </c>
      <c r="D173" t="s">
        <v>176</v>
      </c>
      <c r="E173">
        <v>1</v>
      </c>
      <c r="F173">
        <v>1.4359999999999999</v>
      </c>
      <c r="G173">
        <v>1</v>
      </c>
      <c r="H173">
        <v>1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</row>
    <row r="174" spans="2:39">
      <c r="B174" t="s">
        <v>350</v>
      </c>
      <c r="C174" s="11" t="s">
        <v>1631</v>
      </c>
      <c r="D174" t="s">
        <v>176</v>
      </c>
      <c r="E174">
        <v>1</v>
      </c>
      <c r="F174">
        <v>1.472607971</v>
      </c>
      <c r="G174">
        <v>1</v>
      </c>
      <c r="H174">
        <v>1.1959521769999999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</row>
    <row r="175" spans="2:39">
      <c r="B175" t="s">
        <v>351</v>
      </c>
      <c r="C175" s="11" t="s">
        <v>1632</v>
      </c>
      <c r="D175" t="s">
        <v>176</v>
      </c>
      <c r="E175">
        <v>1</v>
      </c>
      <c r="F175">
        <v>1.492</v>
      </c>
      <c r="G175">
        <v>1</v>
      </c>
      <c r="H175">
        <v>1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</row>
    <row r="176" spans="2:39">
      <c r="B176" t="s">
        <v>352</v>
      </c>
      <c r="C176" s="11" t="s">
        <v>1633</v>
      </c>
      <c r="D176" t="s">
        <v>176</v>
      </c>
      <c r="E176">
        <v>1.01</v>
      </c>
      <c r="F176">
        <v>1.397</v>
      </c>
      <c r="G176">
        <v>1</v>
      </c>
      <c r="H176">
        <v>1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</row>
    <row r="177" spans="2:16">
      <c r="B177" t="s">
        <v>353</v>
      </c>
      <c r="C177" s="11" t="s">
        <v>1634</v>
      </c>
      <c r="D177" t="s">
        <v>176</v>
      </c>
      <c r="E177">
        <v>1</v>
      </c>
      <c r="F177">
        <v>1.5209753340000001</v>
      </c>
      <c r="G177">
        <v>1</v>
      </c>
      <c r="H177">
        <v>1.40455409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</row>
    <row r="178" spans="2:16">
      <c r="B178" t="s">
        <v>354</v>
      </c>
      <c r="C178" s="11" t="s">
        <v>1635</v>
      </c>
      <c r="D178" t="s">
        <v>176</v>
      </c>
      <c r="E178">
        <v>1.4725285081520001</v>
      </c>
      <c r="F178">
        <v>0.92100000000000004</v>
      </c>
      <c r="G178">
        <v>1.0633795478079999</v>
      </c>
      <c r="H178">
        <v>1.0509520000000001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</row>
    <row r="179" spans="2:16">
      <c r="B179" t="s">
        <v>355</v>
      </c>
      <c r="C179" s="11" t="s">
        <v>1636</v>
      </c>
      <c r="D179" t="s">
        <v>176</v>
      </c>
      <c r="E179">
        <v>1</v>
      </c>
      <c r="F179">
        <v>1.45</v>
      </c>
      <c r="G179">
        <v>1</v>
      </c>
      <c r="H179">
        <v>1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</row>
    <row r="180" spans="2:16">
      <c r="B180" t="s">
        <v>356</v>
      </c>
      <c r="C180" s="11" t="s">
        <v>1637</v>
      </c>
      <c r="D180" t="s">
        <v>176</v>
      </c>
      <c r="E180">
        <v>1</v>
      </c>
      <c r="F180">
        <v>1.7332800509999999</v>
      </c>
      <c r="G180">
        <v>1</v>
      </c>
      <c r="H180">
        <v>1.1860670250000001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</row>
    <row r="181" spans="2:16">
      <c r="B181" t="s">
        <v>357</v>
      </c>
      <c r="C181" s="11" t="s">
        <v>1638</v>
      </c>
      <c r="D181" t="s">
        <v>176</v>
      </c>
      <c r="E181">
        <v>0.95637945000000002</v>
      </c>
      <c r="F181">
        <v>1.7491199959999999</v>
      </c>
      <c r="G181">
        <v>1</v>
      </c>
      <c r="H181">
        <v>1.1004059289999999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</row>
    <row r="182" spans="2:16">
      <c r="B182" t="s">
        <v>358</v>
      </c>
      <c r="C182" s="11" t="s">
        <v>1639</v>
      </c>
      <c r="D182" t="s">
        <v>176</v>
      </c>
      <c r="E182">
        <v>0.95793444699999997</v>
      </c>
      <c r="F182">
        <v>1.822157123</v>
      </c>
      <c r="G182">
        <v>1</v>
      </c>
      <c r="H182">
        <v>1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</row>
    <row r="183" spans="2:16">
      <c r="B183" t="s">
        <v>359</v>
      </c>
      <c r="C183" s="11" t="s">
        <v>1640</v>
      </c>
      <c r="D183" t="s">
        <v>176</v>
      </c>
      <c r="E183">
        <v>1</v>
      </c>
      <c r="F183">
        <v>0.97289999999999999</v>
      </c>
      <c r="G183">
        <v>1</v>
      </c>
      <c r="H183">
        <v>1.0043318999999999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</row>
    <row r="184" spans="2:16" hidden="1">
      <c r="B184" t="s">
        <v>360</v>
      </c>
      <c r="C184" s="11" t="s">
        <v>1641</v>
      </c>
      <c r="D184" t="s">
        <v>219</v>
      </c>
      <c r="E184">
        <v>1.0076714280000001</v>
      </c>
      <c r="F184">
        <v>1.098650964</v>
      </c>
      <c r="G184">
        <v>0.97888016799999999</v>
      </c>
      <c r="H184">
        <v>1.0423528909999999</v>
      </c>
      <c r="I184">
        <v>1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</row>
    <row r="185" spans="2:16">
      <c r="B185" t="s">
        <v>361</v>
      </c>
      <c r="C185" s="11" t="s">
        <v>1642</v>
      </c>
      <c r="D185" t="s">
        <v>176</v>
      </c>
      <c r="E185">
        <v>0.95250000000000001</v>
      </c>
      <c r="F185">
        <v>1.1068</v>
      </c>
      <c r="G185">
        <v>1</v>
      </c>
      <c r="H185">
        <v>1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</row>
    <row r="186" spans="2:16">
      <c r="B186" t="s">
        <v>362</v>
      </c>
      <c r="C186" s="11" t="s">
        <v>1643</v>
      </c>
      <c r="D186" t="s">
        <v>176</v>
      </c>
      <c r="E186">
        <v>1</v>
      </c>
      <c r="F186">
        <v>1.0319860000000001</v>
      </c>
      <c r="G186">
        <v>1</v>
      </c>
      <c r="H186">
        <v>1.08446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</row>
    <row r="187" spans="2:16">
      <c r="B187" t="s">
        <v>363</v>
      </c>
      <c r="C187" s="11" t="s">
        <v>1644</v>
      </c>
      <c r="D187" t="s">
        <v>176</v>
      </c>
      <c r="E187">
        <v>1.004692366</v>
      </c>
      <c r="F187">
        <v>0.96017419999999998</v>
      </c>
      <c r="G187">
        <v>0.91039424899999999</v>
      </c>
      <c r="H187">
        <v>1.256844157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</row>
    <row r="188" spans="2:16">
      <c r="B188" t="s">
        <v>364</v>
      </c>
      <c r="C188" s="11" t="s">
        <v>1645</v>
      </c>
      <c r="D188" t="s">
        <v>176</v>
      </c>
      <c r="E188">
        <v>1</v>
      </c>
      <c r="F188">
        <v>1.155</v>
      </c>
      <c r="G188">
        <v>1</v>
      </c>
      <c r="H188">
        <v>1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</row>
    <row r="189" spans="2:16">
      <c r="B189" t="s">
        <v>365</v>
      </c>
      <c r="C189" s="11" t="s">
        <v>1646</v>
      </c>
      <c r="D189" t="s">
        <v>176</v>
      </c>
      <c r="E189">
        <v>1.002677329</v>
      </c>
      <c r="F189">
        <v>1.201264026</v>
      </c>
      <c r="G189">
        <v>0.97442468100000001</v>
      </c>
      <c r="H189">
        <v>1.0810254079999999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</row>
    <row r="190" spans="2:16">
      <c r="B190" t="s">
        <v>366</v>
      </c>
      <c r="C190" s="11" t="s">
        <v>1647</v>
      </c>
      <c r="D190" t="s">
        <v>176</v>
      </c>
      <c r="E190">
        <v>0.99286812999999996</v>
      </c>
      <c r="F190">
        <v>1.284462634</v>
      </c>
      <c r="G190">
        <v>0.98641582999999999</v>
      </c>
      <c r="H190">
        <v>1.100576129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</row>
    <row r="191" spans="2:16">
      <c r="B191" t="s">
        <v>367</v>
      </c>
      <c r="C191" s="11" t="s">
        <v>1648</v>
      </c>
      <c r="D191" t="s">
        <v>176</v>
      </c>
      <c r="E191">
        <v>1.077631495289</v>
      </c>
      <c r="F191">
        <v>1.0358782</v>
      </c>
      <c r="G191">
        <v>0.82017882686999999</v>
      </c>
      <c r="H191">
        <v>1.6606316999999999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</row>
    <row r="192" spans="2:16">
      <c r="B192" t="s">
        <v>368</v>
      </c>
      <c r="C192" s="11" t="s">
        <v>1649</v>
      </c>
      <c r="D192" t="s">
        <v>176</v>
      </c>
      <c r="E192">
        <v>0.99451523399999997</v>
      </c>
      <c r="F192">
        <v>1.304886838</v>
      </c>
      <c r="G192">
        <v>0.99608260999999998</v>
      </c>
      <c r="H192">
        <v>1.146949309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</row>
    <row r="193" spans="2:39">
      <c r="B193" t="s">
        <v>369</v>
      </c>
      <c r="C193" s="11" t="s">
        <v>1650</v>
      </c>
      <c r="D193" t="s">
        <v>176</v>
      </c>
      <c r="E193">
        <v>1</v>
      </c>
      <c r="F193">
        <v>1.3817707699999999</v>
      </c>
      <c r="G193">
        <v>1</v>
      </c>
      <c r="H193">
        <v>1.154135439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</row>
    <row r="194" spans="2:39">
      <c r="B194" t="s">
        <v>370</v>
      </c>
      <c r="C194" s="11" t="s">
        <v>1651</v>
      </c>
      <c r="D194" t="s">
        <v>176</v>
      </c>
      <c r="E194">
        <v>1</v>
      </c>
      <c r="F194">
        <v>1.4190290409999999</v>
      </c>
      <c r="G194">
        <v>1</v>
      </c>
      <c r="H194">
        <v>1.0788771660000001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</row>
    <row r="195" spans="2:39">
      <c r="B195" t="s">
        <v>371</v>
      </c>
      <c r="C195" s="11" t="s">
        <v>1652</v>
      </c>
      <c r="D195" t="s">
        <v>176</v>
      </c>
      <c r="E195">
        <v>1</v>
      </c>
      <c r="F195">
        <v>1.4359999999999999</v>
      </c>
      <c r="G195">
        <v>1</v>
      </c>
      <c r="H195">
        <v>1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</row>
    <row r="196" spans="2:39">
      <c r="B196" t="s">
        <v>372</v>
      </c>
      <c r="C196" s="11" t="s">
        <v>1653</v>
      </c>
      <c r="D196" t="s">
        <v>176</v>
      </c>
      <c r="E196">
        <v>1</v>
      </c>
      <c r="F196">
        <v>1.472607971</v>
      </c>
      <c r="G196">
        <v>1</v>
      </c>
      <c r="H196">
        <v>1.1959521769999999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</row>
    <row r="197" spans="2:39">
      <c r="B197" t="s">
        <v>373</v>
      </c>
      <c r="C197" s="11" t="s">
        <v>1654</v>
      </c>
      <c r="D197" t="s">
        <v>176</v>
      </c>
      <c r="E197">
        <v>1</v>
      </c>
      <c r="F197">
        <v>1.492</v>
      </c>
      <c r="G197">
        <v>1</v>
      </c>
      <c r="H197">
        <v>1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</row>
    <row r="198" spans="2:39">
      <c r="B198" t="s">
        <v>374</v>
      </c>
      <c r="C198" s="11" t="s">
        <v>1655</v>
      </c>
      <c r="D198" t="s">
        <v>176</v>
      </c>
      <c r="E198">
        <v>1.01</v>
      </c>
      <c r="F198">
        <v>1.397</v>
      </c>
      <c r="G198">
        <v>1</v>
      </c>
      <c r="H198">
        <v>1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</row>
    <row r="199" spans="2:39">
      <c r="B199" t="s">
        <v>375</v>
      </c>
      <c r="C199" s="11" t="s">
        <v>1656</v>
      </c>
      <c r="D199" t="s">
        <v>176</v>
      </c>
      <c r="E199">
        <v>1</v>
      </c>
      <c r="F199">
        <v>1.3883000000000001</v>
      </c>
      <c r="G199">
        <v>1</v>
      </c>
      <c r="H199">
        <v>1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</row>
    <row r="200" spans="2:39">
      <c r="B200" t="s">
        <v>376</v>
      </c>
      <c r="C200" s="11" t="s">
        <v>1657</v>
      </c>
      <c r="D200" t="s">
        <v>176</v>
      </c>
      <c r="E200">
        <v>1</v>
      </c>
      <c r="F200">
        <v>1.5209753340000001</v>
      </c>
      <c r="G200">
        <v>1</v>
      </c>
      <c r="H200">
        <v>1.40455409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</row>
    <row r="201" spans="2:39" hidden="1">
      <c r="B201" t="s">
        <v>377</v>
      </c>
      <c r="C201" s="11" t="s">
        <v>1658</v>
      </c>
      <c r="D201" t="s">
        <v>298</v>
      </c>
      <c r="E201">
        <v>1.2530600000000001</v>
      </c>
      <c r="F201">
        <v>0.80784199999999995</v>
      </c>
      <c r="G201">
        <v>1.028197</v>
      </c>
      <c r="H201">
        <v>0.87346000000000001</v>
      </c>
      <c r="I201">
        <v>0.60170000000000001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</row>
    <row r="202" spans="2:39">
      <c r="B202" t="s">
        <v>378</v>
      </c>
      <c r="C202" s="11" t="s">
        <v>1659</v>
      </c>
      <c r="D202" t="s">
        <v>176</v>
      </c>
      <c r="E202">
        <v>1</v>
      </c>
      <c r="F202">
        <v>1.45</v>
      </c>
      <c r="G202">
        <v>1</v>
      </c>
      <c r="H202">
        <v>1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</row>
    <row r="203" spans="2:39">
      <c r="B203" t="s">
        <v>379</v>
      </c>
      <c r="C203" s="11" t="s">
        <v>1660</v>
      </c>
      <c r="D203" t="s">
        <v>176</v>
      </c>
      <c r="E203">
        <v>1</v>
      </c>
      <c r="F203">
        <v>1.7332800509999999</v>
      </c>
      <c r="G203">
        <v>1</v>
      </c>
      <c r="H203">
        <v>1.1860670250000001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</row>
    <row r="204" spans="2:39">
      <c r="B204" t="s">
        <v>380</v>
      </c>
      <c r="C204" s="11" t="s">
        <v>1661</v>
      </c>
      <c r="D204" t="s">
        <v>176</v>
      </c>
      <c r="E204">
        <v>0.95637945000000002</v>
      </c>
      <c r="F204">
        <v>1.7491199959999999</v>
      </c>
      <c r="G204">
        <v>1</v>
      </c>
      <c r="H204">
        <v>1.1004059289999999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</row>
    <row r="205" spans="2:39">
      <c r="B205" t="s">
        <v>381</v>
      </c>
      <c r="C205" s="11" t="s">
        <v>1662</v>
      </c>
      <c r="D205" t="s">
        <v>176</v>
      </c>
      <c r="E205">
        <v>0.95793444699999997</v>
      </c>
      <c r="F205">
        <v>1.822157123</v>
      </c>
      <c r="G205">
        <v>1</v>
      </c>
      <c r="H205">
        <v>1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</row>
    <row r="206" spans="2:39">
      <c r="B206" t="s">
        <v>382</v>
      </c>
      <c r="C206" s="11" t="s">
        <v>1663</v>
      </c>
      <c r="D206" t="s">
        <v>176</v>
      </c>
      <c r="E206">
        <v>1</v>
      </c>
      <c r="F206">
        <v>1.0196369999999999</v>
      </c>
      <c r="G206">
        <v>1</v>
      </c>
      <c r="H206">
        <v>1.0054519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</row>
    <row r="207" spans="2:39">
      <c r="B207" t="s">
        <v>383</v>
      </c>
      <c r="C207" s="11" t="s">
        <v>1664</v>
      </c>
      <c r="D207" t="s">
        <v>176</v>
      </c>
      <c r="E207">
        <v>0.99216192082499999</v>
      </c>
      <c r="F207">
        <v>1.0437000000000001</v>
      </c>
      <c r="G207">
        <v>1</v>
      </c>
      <c r="H207">
        <v>1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</row>
    <row r="208" spans="2:39" hidden="1">
      <c r="B208" t="s">
        <v>384</v>
      </c>
      <c r="C208" s="11" t="s">
        <v>1665</v>
      </c>
      <c r="D208" t="s">
        <v>168</v>
      </c>
      <c r="E208">
        <v>0.94804702313199996</v>
      </c>
      <c r="F208">
        <v>1.0466</v>
      </c>
      <c r="G208">
        <v>1</v>
      </c>
      <c r="H208">
        <v>1</v>
      </c>
      <c r="I208">
        <v>0.63619999999999999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R208">
        <v>304.12819999999999</v>
      </c>
      <c r="S208">
        <v>293.97942499713491</v>
      </c>
      <c r="T208">
        <v>284.81895279049877</v>
      </c>
      <c r="U208">
        <v>276.35607994510679</v>
      </c>
      <c r="V208">
        <v>268.28783803493377</v>
      </c>
      <c r="W208">
        <v>260.29833991135473</v>
      </c>
      <c r="X208">
        <v>252.05808370789941</v>
      </c>
      <c r="Y208">
        <v>243.22321135886023</v>
      </c>
      <c r="Z208">
        <v>233.43471812540662</v>
      </c>
      <c r="AA208">
        <v>222.31760931051153</v>
      </c>
      <c r="AB208">
        <v>209.48</v>
      </c>
      <c r="AC208">
        <v>10.624906299999999</v>
      </c>
      <c r="AD208">
        <v>10.647064119070784</v>
      </c>
      <c r="AE208">
        <v>10.669299017539114</v>
      </c>
      <c r="AF208">
        <v>10.691611382012534</v>
      </c>
      <c r="AG208">
        <v>10.714001601661007</v>
      </c>
      <c r="AH208">
        <v>10.736470068238139</v>
      </c>
      <c r="AI208">
        <v>10.759017176102569</v>
      </c>
      <c r="AJ208">
        <v>10.781643322239615</v>
      </c>
      <c r="AK208">
        <v>10.804348906283114</v>
      </c>
      <c r="AL208">
        <v>10.827134330537485</v>
      </c>
      <c r="AM208">
        <v>10.85</v>
      </c>
    </row>
    <row r="209" spans="2:16">
      <c r="B209" t="s">
        <v>385</v>
      </c>
      <c r="C209" s="11" t="s">
        <v>1666</v>
      </c>
      <c r="D209" t="s">
        <v>176</v>
      </c>
      <c r="E209">
        <v>1</v>
      </c>
      <c r="F209">
        <v>1.0773976999999999</v>
      </c>
      <c r="G209">
        <v>1</v>
      </c>
      <c r="H209">
        <v>1.0390195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</row>
    <row r="210" spans="2:16">
      <c r="B210" t="s">
        <v>386</v>
      </c>
      <c r="C210" s="11" t="s">
        <v>1667</v>
      </c>
      <c r="D210" t="s">
        <v>176</v>
      </c>
      <c r="E210">
        <v>1.0118180000000001</v>
      </c>
      <c r="F210">
        <v>0.92418999999999996</v>
      </c>
      <c r="G210">
        <v>1</v>
      </c>
      <c r="H210">
        <v>1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</row>
    <row r="211" spans="2:16">
      <c r="B211" t="s">
        <v>387</v>
      </c>
      <c r="C211" s="11" t="s">
        <v>1668</v>
      </c>
      <c r="D211" t="s">
        <v>176</v>
      </c>
      <c r="E211">
        <v>0.98538671501599995</v>
      </c>
      <c r="F211">
        <v>0.89215999999999995</v>
      </c>
      <c r="G211">
        <v>1</v>
      </c>
      <c r="H211">
        <v>1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</row>
    <row r="212" spans="2:16">
      <c r="B212" t="s">
        <v>388</v>
      </c>
      <c r="C212" s="11" t="s">
        <v>1669</v>
      </c>
      <c r="D212" t="s">
        <v>176</v>
      </c>
      <c r="E212">
        <v>1</v>
      </c>
      <c r="F212">
        <v>0.94675799999999999</v>
      </c>
      <c r="G212">
        <v>1</v>
      </c>
      <c r="H212">
        <v>1.0002626999999999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</row>
    <row r="213" spans="2:16">
      <c r="B213" t="s">
        <v>389</v>
      </c>
      <c r="C213" s="11" t="s">
        <v>1670</v>
      </c>
      <c r="D213" t="s">
        <v>176</v>
      </c>
      <c r="E213">
        <v>1</v>
      </c>
      <c r="F213">
        <v>0.99272419999999995</v>
      </c>
      <c r="G213">
        <v>1</v>
      </c>
      <c r="H213">
        <v>1.0048843999999999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</row>
    <row r="214" spans="2:16">
      <c r="B214" t="s">
        <v>390</v>
      </c>
      <c r="C214" s="11" t="s">
        <v>1671</v>
      </c>
      <c r="D214" t="s">
        <v>176</v>
      </c>
      <c r="E214">
        <v>0.92031998421500005</v>
      </c>
      <c r="F214">
        <v>1.18828</v>
      </c>
      <c r="G214">
        <v>1</v>
      </c>
      <c r="H214">
        <v>1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</row>
    <row r="215" spans="2:16">
      <c r="B215" t="s">
        <v>391</v>
      </c>
      <c r="C215" s="11" t="s">
        <v>1672</v>
      </c>
      <c r="D215" t="s">
        <v>176</v>
      </c>
      <c r="E215">
        <v>1</v>
      </c>
      <c r="F215">
        <v>0.9798</v>
      </c>
      <c r="G215">
        <v>1</v>
      </c>
      <c r="H215">
        <v>1.0047999999999999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</row>
    <row r="216" spans="2:16">
      <c r="B216" t="s">
        <v>392</v>
      </c>
      <c r="C216" s="11" t="s">
        <v>1673</v>
      </c>
      <c r="D216" t="s">
        <v>176</v>
      </c>
      <c r="E216">
        <v>1</v>
      </c>
      <c r="F216">
        <v>1.0112641</v>
      </c>
      <c r="G216">
        <v>1</v>
      </c>
      <c r="H216">
        <v>1.0034307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</row>
    <row r="217" spans="2:16">
      <c r="B217" t="s">
        <v>393</v>
      </c>
      <c r="C217" s="11" t="s">
        <v>1674</v>
      </c>
      <c r="D217" t="s">
        <v>176</v>
      </c>
      <c r="E217">
        <v>1.0176666999999999</v>
      </c>
      <c r="F217">
        <v>0.90578999999999998</v>
      </c>
      <c r="G217">
        <v>1</v>
      </c>
      <c r="H217">
        <v>1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</row>
    <row r="218" spans="2:16">
      <c r="B218" t="s">
        <v>394</v>
      </c>
      <c r="C218" s="11" t="s">
        <v>1675</v>
      </c>
      <c r="D218" t="s">
        <v>176</v>
      </c>
      <c r="E218">
        <v>1.0229865</v>
      </c>
      <c r="F218">
        <v>0.91395000000000004</v>
      </c>
      <c r="G218">
        <v>1</v>
      </c>
      <c r="H218">
        <v>1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</row>
    <row r="219" spans="2:16">
      <c r="B219" t="s">
        <v>395</v>
      </c>
      <c r="C219" s="11" t="s">
        <v>1676</v>
      </c>
      <c r="D219" t="s">
        <v>176</v>
      </c>
      <c r="E219">
        <v>1.0366024</v>
      </c>
      <c r="F219">
        <v>0.92845999999999995</v>
      </c>
      <c r="G219">
        <v>1</v>
      </c>
      <c r="H219">
        <v>1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</row>
    <row r="220" spans="2:16">
      <c r="B220" t="s">
        <v>396</v>
      </c>
      <c r="C220" s="11" t="s">
        <v>1677</v>
      </c>
      <c r="D220" t="s">
        <v>176</v>
      </c>
      <c r="E220">
        <v>1.009784814856</v>
      </c>
      <c r="F220">
        <v>1.01223</v>
      </c>
      <c r="G220">
        <v>1</v>
      </c>
      <c r="H220">
        <v>1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</row>
    <row r="221" spans="2:16">
      <c r="B221" t="s">
        <v>397</v>
      </c>
      <c r="C221" s="11" t="s">
        <v>1678</v>
      </c>
      <c r="D221" t="s">
        <v>176</v>
      </c>
      <c r="E221">
        <v>0.99511399030799996</v>
      </c>
      <c r="F221">
        <v>1.0413300000000001</v>
      </c>
      <c r="G221">
        <v>1</v>
      </c>
      <c r="H221">
        <v>1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</row>
    <row r="222" spans="2:16">
      <c r="B222" t="s">
        <v>398</v>
      </c>
      <c r="C222" s="11" t="s">
        <v>1679</v>
      </c>
      <c r="D222" t="s">
        <v>176</v>
      </c>
      <c r="E222">
        <v>0.93427383566099997</v>
      </c>
      <c r="F222">
        <v>0.94711000000000001</v>
      </c>
      <c r="G222">
        <v>1</v>
      </c>
      <c r="H222">
        <v>1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</row>
    <row r="223" spans="2:16">
      <c r="B223" t="s">
        <v>399</v>
      </c>
      <c r="C223" s="11" t="s">
        <v>1680</v>
      </c>
      <c r="D223" t="s">
        <v>176</v>
      </c>
      <c r="E223">
        <v>1.0366561999999999</v>
      </c>
      <c r="F223">
        <v>1.03491</v>
      </c>
      <c r="G223">
        <v>1</v>
      </c>
      <c r="H223">
        <v>1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</row>
    <row r="224" spans="2:16">
      <c r="B224" t="s">
        <v>400</v>
      </c>
      <c r="C224" s="11" t="s">
        <v>1681</v>
      </c>
      <c r="D224" t="s">
        <v>176</v>
      </c>
      <c r="E224">
        <v>0.95368886854400003</v>
      </c>
      <c r="F224">
        <v>1.17726</v>
      </c>
      <c r="G224">
        <v>1</v>
      </c>
      <c r="H224">
        <v>1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</row>
    <row r="225" spans="2:39">
      <c r="B225" t="s">
        <v>401</v>
      </c>
      <c r="C225" s="11" t="s">
        <v>1682</v>
      </c>
      <c r="D225" t="s">
        <v>176</v>
      </c>
      <c r="E225">
        <v>1.0688556831060001</v>
      </c>
      <c r="F225">
        <v>0.77334999999999998</v>
      </c>
      <c r="G225">
        <v>1</v>
      </c>
      <c r="H225">
        <v>1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</row>
    <row r="226" spans="2:39">
      <c r="B226" t="s">
        <v>402</v>
      </c>
      <c r="C226" s="11" t="s">
        <v>1683</v>
      </c>
      <c r="D226" t="s">
        <v>176</v>
      </c>
      <c r="E226">
        <v>0.98078639453100003</v>
      </c>
      <c r="F226">
        <v>1.16656</v>
      </c>
      <c r="G226">
        <v>1</v>
      </c>
      <c r="H226">
        <v>1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</row>
    <row r="227" spans="2:39" hidden="1">
      <c r="B227" t="s">
        <v>403</v>
      </c>
      <c r="C227" s="11" t="s">
        <v>1684</v>
      </c>
      <c r="D227" t="s">
        <v>168</v>
      </c>
      <c r="E227">
        <v>1</v>
      </c>
      <c r="F227">
        <v>0.99099999999999999</v>
      </c>
      <c r="G227">
        <v>1</v>
      </c>
      <c r="H227">
        <v>1.008</v>
      </c>
      <c r="I227">
        <v>2.5000000000000001E-2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R227">
        <v>305.322</v>
      </c>
      <c r="S227">
        <v>302.50872532608508</v>
      </c>
      <c r="T227">
        <v>299.8101339130402</v>
      </c>
      <c r="U227">
        <v>297.22622576086513</v>
      </c>
      <c r="V227">
        <v>294.75700086956022</v>
      </c>
      <c r="W227">
        <v>292.40245923912516</v>
      </c>
      <c r="X227">
        <v>290.16260086956015</v>
      </c>
      <c r="Y227">
        <v>288.03742576086518</v>
      </c>
      <c r="Z227">
        <v>286.02693391304012</v>
      </c>
      <c r="AA227">
        <v>284.13112532608511</v>
      </c>
      <c r="AB227">
        <v>282.35000000000002</v>
      </c>
      <c r="AC227">
        <v>6.8568866850000001</v>
      </c>
      <c r="AD227">
        <v>6.9192428198043725</v>
      </c>
      <c r="AE227">
        <v>6.9846405296807736</v>
      </c>
      <c r="AF227">
        <v>7.0532207286238719</v>
      </c>
      <c r="AG227">
        <v>7.1251351353028971</v>
      </c>
      <c r="AH227">
        <v>7.2005472395052754</v>
      </c>
      <c r="AI227">
        <v>7.2796333781590521</v>
      </c>
      <c r="AJ227">
        <v>7.3625839354867084</v>
      </c>
      <c r="AK227">
        <v>7.4496046841079933</v>
      </c>
      <c r="AL227">
        <v>7.5409182865779352</v>
      </c>
      <c r="AM227">
        <v>7.6367659799999998</v>
      </c>
    </row>
    <row r="228" spans="2:39" hidden="1">
      <c r="B228" t="s">
        <v>404</v>
      </c>
      <c r="C228" s="11" t="s">
        <v>1685</v>
      </c>
      <c r="D228" t="s">
        <v>168</v>
      </c>
      <c r="E228">
        <v>1</v>
      </c>
      <c r="F228">
        <v>0.95699999999999996</v>
      </c>
      <c r="G228">
        <v>0.98619329388599997</v>
      </c>
      <c r="H228">
        <v>0.99099999999999999</v>
      </c>
      <c r="I228">
        <v>1.4E-2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R228">
        <v>304.12819999999999</v>
      </c>
      <c r="S228">
        <v>299.64587031360963</v>
      </c>
      <c r="T228">
        <v>295.67565389086155</v>
      </c>
      <c r="U228">
        <v>292.21755073175564</v>
      </c>
      <c r="V228">
        <v>289.27156083629222</v>
      </c>
      <c r="W228">
        <v>286.83768420447109</v>
      </c>
      <c r="X228">
        <v>284.91592083629223</v>
      </c>
      <c r="Y228">
        <v>283.50627073175571</v>
      </c>
      <c r="Z228">
        <v>282.60873389086146</v>
      </c>
      <c r="AA228">
        <v>282.2233103136096</v>
      </c>
      <c r="AB228">
        <v>282.35000000000002</v>
      </c>
      <c r="AC228">
        <v>10.624906299999999</v>
      </c>
      <c r="AD228">
        <v>10.286187201000008</v>
      </c>
      <c r="AE228">
        <v>9.9459821391001064</v>
      </c>
      <c r="AF228">
        <v>9.6099241374462938</v>
      </c>
      <c r="AG228">
        <v>9.2824791162188536</v>
      </c>
      <c r="AH228">
        <v>8.9670739473564822</v>
      </c>
      <c r="AI228">
        <v>8.666246776141401</v>
      </c>
      <c r="AJ228">
        <v>8.3818014666635605</v>
      </c>
      <c r="AK228">
        <v>8.1149545325309447</v>
      </c>
      <c r="AL228">
        <v>7.8664680736007737</v>
      </c>
      <c r="AM228">
        <v>7.6367659799999998</v>
      </c>
    </row>
    <row r="229" spans="2:39">
      <c r="B229" t="s">
        <v>405</v>
      </c>
      <c r="C229" s="11" t="s">
        <v>1686</v>
      </c>
      <c r="D229" t="s">
        <v>176</v>
      </c>
      <c r="E229">
        <v>1.004</v>
      </c>
      <c r="F229">
        <v>1.016</v>
      </c>
      <c r="G229">
        <v>1</v>
      </c>
      <c r="H229">
        <v>1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</row>
    <row r="230" spans="2:39">
      <c r="B230" t="s">
        <v>406</v>
      </c>
      <c r="C230" s="11" t="s">
        <v>1687</v>
      </c>
      <c r="D230" t="s">
        <v>176</v>
      </c>
      <c r="E230">
        <v>1.0060362173040001</v>
      </c>
      <c r="F230">
        <v>1.014</v>
      </c>
      <c r="G230">
        <v>1</v>
      </c>
      <c r="H230">
        <v>1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</row>
    <row r="231" spans="2:39">
      <c r="B231" t="s">
        <v>407</v>
      </c>
      <c r="C231" s="11" t="s">
        <v>1688</v>
      </c>
      <c r="D231" t="s">
        <v>176</v>
      </c>
      <c r="E231">
        <v>1.01864</v>
      </c>
      <c r="F231">
        <v>0.99653000000000003</v>
      </c>
      <c r="G231">
        <v>1</v>
      </c>
      <c r="H231">
        <v>1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</row>
    <row r="232" spans="2:39">
      <c r="B232" t="s">
        <v>408</v>
      </c>
      <c r="C232" s="11" t="s">
        <v>1689</v>
      </c>
      <c r="D232" t="s">
        <v>176</v>
      </c>
      <c r="E232">
        <v>0.99502487562200004</v>
      </c>
      <c r="F232">
        <v>1.0569999999999999</v>
      </c>
      <c r="G232">
        <v>1</v>
      </c>
      <c r="H232">
        <v>1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</row>
    <row r="233" spans="2:39">
      <c r="B233" t="s">
        <v>409</v>
      </c>
      <c r="C233" s="11" t="s">
        <v>1690</v>
      </c>
      <c r="D233" t="s">
        <v>176</v>
      </c>
      <c r="E233">
        <v>1</v>
      </c>
      <c r="F233">
        <v>1.0486</v>
      </c>
      <c r="G233">
        <v>1</v>
      </c>
      <c r="H233">
        <v>1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</row>
    <row r="234" spans="2:39">
      <c r="B234" t="s">
        <v>410</v>
      </c>
      <c r="C234" s="11" t="s">
        <v>1691</v>
      </c>
      <c r="D234" t="s">
        <v>176</v>
      </c>
      <c r="E234">
        <v>1.0415148000000001</v>
      </c>
      <c r="F234">
        <v>0.97341</v>
      </c>
      <c r="G234">
        <v>1</v>
      </c>
      <c r="H234">
        <v>1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</row>
    <row r="235" spans="2:39">
      <c r="B235" t="s">
        <v>411</v>
      </c>
      <c r="C235" s="11" t="s">
        <v>1692</v>
      </c>
      <c r="D235" t="s">
        <v>176</v>
      </c>
      <c r="E235">
        <v>0.97847358121299999</v>
      </c>
      <c r="F235">
        <v>1.0580000000000001</v>
      </c>
      <c r="G235">
        <v>1</v>
      </c>
      <c r="H235">
        <v>1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</row>
    <row r="236" spans="2:39" hidden="1">
      <c r="B236" t="s">
        <v>412</v>
      </c>
      <c r="C236" s="11" t="s">
        <v>1693</v>
      </c>
      <c r="D236" t="s">
        <v>168</v>
      </c>
      <c r="E236">
        <v>0.99009900990099997</v>
      </c>
      <c r="F236">
        <v>1.0900000000000001</v>
      </c>
      <c r="G236">
        <v>1</v>
      </c>
      <c r="H236">
        <v>1</v>
      </c>
      <c r="I236">
        <v>0.4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R236">
        <v>460.35</v>
      </c>
      <c r="S236">
        <v>445.88034436782891</v>
      </c>
      <c r="T236">
        <v>430.91739666595413</v>
      </c>
      <c r="U236">
        <v>415.36989675337929</v>
      </c>
      <c r="V236">
        <v>399.14585950093192</v>
      </c>
      <c r="W236">
        <v>382.15256757762899</v>
      </c>
      <c r="X236">
        <v>364.29656415074044</v>
      </c>
      <c r="Y236">
        <v>345.48364549834304</v>
      </c>
      <c r="Z236">
        <v>325.61885353313789</v>
      </c>
      <c r="AA236">
        <v>304.60646823628679</v>
      </c>
      <c r="AB236">
        <v>282.35000000000002</v>
      </c>
      <c r="AC236">
        <v>3.2709999999999999</v>
      </c>
      <c r="AD236">
        <v>3.4959402548930258</v>
      </c>
      <c r="AE236">
        <v>3.7472447985503115</v>
      </c>
      <c r="AF236">
        <v>4.0295465757563651</v>
      </c>
      <c r="AG236">
        <v>4.3486105626204887</v>
      </c>
      <c r="AH236">
        <v>4.7116999506887902</v>
      </c>
      <c r="AI236">
        <v>5.1280940500654717</v>
      </c>
      <c r="AJ236">
        <v>5.6098366512945761</v>
      </c>
      <c r="AK236">
        <v>6.1728440214282152</v>
      </c>
      <c r="AL236">
        <v>6.8385916513882075</v>
      </c>
      <c r="AM236">
        <v>7.6367659799999998</v>
      </c>
    </row>
    <row r="237" spans="2:39">
      <c r="B237" t="s">
        <v>413</v>
      </c>
      <c r="C237" s="11" t="s">
        <v>1694</v>
      </c>
      <c r="D237" t="s">
        <v>176</v>
      </c>
      <c r="E237">
        <v>0.98901209999999995</v>
      </c>
      <c r="F237">
        <v>1.1087400000000001</v>
      </c>
      <c r="G237">
        <v>1</v>
      </c>
      <c r="H237">
        <v>1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</row>
    <row r="238" spans="2:39" hidden="1">
      <c r="B238" t="s">
        <v>414</v>
      </c>
      <c r="C238" s="11" t="s">
        <v>1695</v>
      </c>
      <c r="D238" t="s">
        <v>168</v>
      </c>
      <c r="E238">
        <v>0.99009900990099997</v>
      </c>
      <c r="F238">
        <v>1.1000000000000001</v>
      </c>
      <c r="G238">
        <v>1</v>
      </c>
      <c r="H238">
        <v>1</v>
      </c>
      <c r="I238">
        <v>0.48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R238">
        <v>469.65899999999999</v>
      </c>
      <c r="S238">
        <v>454.77685977492189</v>
      </c>
      <c r="T238">
        <v>439.29099360741509</v>
      </c>
      <c r="U238">
        <v>423.10837759101082</v>
      </c>
      <c r="V238">
        <v>406.13524881937104</v>
      </c>
      <c r="W238">
        <v>388.27709803323711</v>
      </c>
      <c r="X238">
        <v>369.43866217940945</v>
      </c>
      <c r="Y238">
        <v>349.52391688052552</v>
      </c>
      <c r="Z238">
        <v>328.43606881438689</v>
      </c>
      <c r="AA238">
        <v>306.07754800156584</v>
      </c>
      <c r="AB238">
        <v>282.35000000000002</v>
      </c>
      <c r="AC238">
        <v>3.2599099999999996</v>
      </c>
      <c r="AD238">
        <v>3.4848008666042549</v>
      </c>
      <c r="AE238">
        <v>3.7361354345451221</v>
      </c>
      <c r="AF238">
        <v>4.0185761661688586</v>
      </c>
      <c r="AG238">
        <v>4.3379287779298394</v>
      </c>
      <c r="AH238">
        <v>4.7015134360284989</v>
      </c>
      <c r="AI238">
        <v>5.1186903609316792</v>
      </c>
      <c r="AJ238">
        <v>5.6016203198547752</v>
      </c>
      <c r="AK238">
        <v>6.1663922746598097</v>
      </c>
      <c r="AL238">
        <v>6.8347430107422644</v>
      </c>
      <c r="AM238">
        <v>7.6367659799999998</v>
      </c>
    </row>
    <row r="239" spans="2:39">
      <c r="B239" t="s">
        <v>415</v>
      </c>
      <c r="C239" s="11" t="s">
        <v>1696</v>
      </c>
      <c r="D239" t="s">
        <v>176</v>
      </c>
      <c r="E239">
        <v>1.0078308</v>
      </c>
      <c r="F239">
        <v>1.10077</v>
      </c>
      <c r="G239">
        <v>1</v>
      </c>
      <c r="H239">
        <v>1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</row>
    <row r="240" spans="2:39">
      <c r="B240" t="s">
        <v>416</v>
      </c>
      <c r="C240" s="11" t="s">
        <v>1697</v>
      </c>
      <c r="D240" t="s">
        <v>176</v>
      </c>
      <c r="E240">
        <v>0.95499999999999996</v>
      </c>
      <c r="F240">
        <v>1.143</v>
      </c>
      <c r="G240">
        <v>1.4810000000000001</v>
      </c>
      <c r="H240">
        <v>0.85699999999999998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</row>
    <row r="241" spans="2:39" hidden="1">
      <c r="B241" t="s">
        <v>417</v>
      </c>
      <c r="C241" s="11" t="s">
        <v>1698</v>
      </c>
      <c r="D241" t="s">
        <v>168</v>
      </c>
      <c r="E241">
        <v>0.99502487562200004</v>
      </c>
      <c r="F241">
        <v>1.1060000000000001</v>
      </c>
      <c r="G241">
        <v>1</v>
      </c>
      <c r="H241">
        <v>1.0960000000000001</v>
      </c>
      <c r="I241">
        <v>0.64900000000000002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R241">
        <v>507.82</v>
      </c>
      <c r="S241">
        <v>489.24070397119851</v>
      </c>
      <c r="T241">
        <v>469.91244589243502</v>
      </c>
      <c r="U241">
        <v>449.78579144021057</v>
      </c>
      <c r="V241">
        <v>428.81110924462325</v>
      </c>
      <c r="W241">
        <v>406.93856990659856</v>
      </c>
      <c r="X241">
        <v>384.11814500923367</v>
      </c>
      <c r="Y241">
        <v>360.29960612321122</v>
      </c>
      <c r="Z241">
        <v>335.43252380624301</v>
      </c>
      <c r="AA241">
        <v>309.46626659650224</v>
      </c>
      <c r="AB241">
        <v>282.35000000000002</v>
      </c>
      <c r="AC241">
        <v>2.706</v>
      </c>
      <c r="AD241">
        <v>2.8899864767834909</v>
      </c>
      <c r="AE241">
        <v>3.1015303511343344</v>
      </c>
      <c r="AF241">
        <v>3.3473201890766076</v>
      </c>
      <c r="AG241">
        <v>3.6363996670011902</v>
      </c>
      <c r="AH241">
        <v>3.9813041978830861</v>
      </c>
      <c r="AI241">
        <v>4.3999261569135397</v>
      </c>
      <c r="AJ241">
        <v>4.9187187711386686</v>
      </c>
      <c r="AK241">
        <v>5.5785118431249785</v>
      </c>
      <c r="AL241">
        <v>6.4458139273164798</v>
      </c>
      <c r="AM241">
        <v>7.6367659799999998</v>
      </c>
    </row>
    <row r="242" spans="2:39">
      <c r="B242" t="s">
        <v>418</v>
      </c>
      <c r="C242" s="11" t="s">
        <v>1699</v>
      </c>
      <c r="D242" t="s">
        <v>176</v>
      </c>
      <c r="E242">
        <v>1</v>
      </c>
      <c r="F242">
        <v>1.149</v>
      </c>
      <c r="G242">
        <v>0.78800000000000003</v>
      </c>
      <c r="H242">
        <v>1.159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</row>
    <row r="243" spans="2:39">
      <c r="B243" t="s">
        <v>419</v>
      </c>
      <c r="C243" s="11" t="s">
        <v>1700</v>
      </c>
      <c r="D243" t="s">
        <v>176</v>
      </c>
      <c r="E243">
        <v>0.97847358121299999</v>
      </c>
      <c r="F243">
        <v>1.1240000000000001</v>
      </c>
      <c r="G243">
        <v>1</v>
      </c>
      <c r="H243">
        <v>1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</row>
    <row r="244" spans="2:39">
      <c r="B244" t="s">
        <v>420</v>
      </c>
      <c r="C244" s="11" t="s">
        <v>1701</v>
      </c>
      <c r="D244" t="s">
        <v>176</v>
      </c>
      <c r="E244">
        <v>0.99874160000000001</v>
      </c>
      <c r="F244">
        <v>1.1203700000000001</v>
      </c>
      <c r="G244">
        <v>1</v>
      </c>
      <c r="H244">
        <v>1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</row>
    <row r="245" spans="2:39" hidden="1">
      <c r="B245" t="s">
        <v>421</v>
      </c>
      <c r="C245" s="11" t="s">
        <v>1702</v>
      </c>
      <c r="D245" t="s">
        <v>168</v>
      </c>
      <c r="E245">
        <v>0.98522167487699996</v>
      </c>
      <c r="F245">
        <v>1.1499999999999999</v>
      </c>
      <c r="G245">
        <v>1</v>
      </c>
      <c r="H245">
        <v>1.085</v>
      </c>
      <c r="I245">
        <v>0.79900000000000004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R245">
        <v>540.20000000000005</v>
      </c>
      <c r="S245">
        <v>520.26797385935686</v>
      </c>
      <c r="T245">
        <v>499.45438815141171</v>
      </c>
      <c r="U245">
        <v>477.60533617335426</v>
      </c>
      <c r="V245">
        <v>454.56508363365924</v>
      </c>
      <c r="W245">
        <v>430.17604144383506</v>
      </c>
      <c r="X245">
        <v>404.27873802264827</v>
      </c>
      <c r="Y245">
        <v>376.71179110259556</v>
      </c>
      <c r="Z245">
        <v>347.31187902816032</v>
      </c>
      <c r="AA245">
        <v>315.91371153513057</v>
      </c>
      <c r="AB245">
        <v>282.35000000000002</v>
      </c>
      <c r="AC245">
        <v>2.33</v>
      </c>
      <c r="AD245">
        <v>2.5123793974048478</v>
      </c>
      <c r="AE245">
        <v>2.7235379826760675</v>
      </c>
      <c r="AF245">
        <v>2.9708341876179625</v>
      </c>
      <c r="AG245">
        <v>3.2643678512850358</v>
      </c>
      <c r="AH245">
        <v>3.6183879581072378</v>
      </c>
      <c r="AI245">
        <v>4.0536671259680723</v>
      </c>
      <c r="AJ245">
        <v>4.6017175125306666</v>
      </c>
      <c r="AK245">
        <v>5.3127614627480799</v>
      </c>
      <c r="AL245">
        <v>6.2720382984431717</v>
      </c>
      <c r="AM245">
        <v>7.6367659799999998</v>
      </c>
    </row>
    <row r="246" spans="2:39">
      <c r="B246" t="s">
        <v>422</v>
      </c>
      <c r="C246" s="11" t="s">
        <v>1703</v>
      </c>
      <c r="D246" t="s">
        <v>176</v>
      </c>
      <c r="E246">
        <v>0.99206349206300004</v>
      </c>
      <c r="F246">
        <v>1.173</v>
      </c>
      <c r="G246">
        <v>1</v>
      </c>
      <c r="H246">
        <v>1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</row>
    <row r="247" spans="2:39" hidden="1">
      <c r="B247" t="s">
        <v>423</v>
      </c>
      <c r="C247" s="11" t="s">
        <v>1704</v>
      </c>
      <c r="D247" t="s">
        <v>168</v>
      </c>
      <c r="E247">
        <v>0.97370983446899995</v>
      </c>
      <c r="F247">
        <v>1.2</v>
      </c>
      <c r="G247">
        <v>1</v>
      </c>
      <c r="H247">
        <v>1.0720000000000001</v>
      </c>
      <c r="I247">
        <v>0.94199999999999995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R247">
        <v>568.74</v>
      </c>
      <c r="S247">
        <v>548.22436849582084</v>
      </c>
      <c r="T247">
        <v>526.69327312395239</v>
      </c>
      <c r="U247">
        <v>503.86149238146999</v>
      </c>
      <c r="V247">
        <v>479.43775932688015</v>
      </c>
      <c r="W247">
        <v>453.12460055605931</v>
      </c>
      <c r="X247">
        <v>424.61817000385622</v>
      </c>
      <c r="Y247">
        <v>393.60807737632899</v>
      </c>
      <c r="Z247">
        <v>359.77721101014203</v>
      </c>
      <c r="AA247">
        <v>322.80155494678741</v>
      </c>
      <c r="AB247">
        <v>282.35000000000002</v>
      </c>
      <c r="AC247">
        <v>2.0310000000000001</v>
      </c>
      <c r="AD247">
        <v>2.2084427425179349</v>
      </c>
      <c r="AE247">
        <v>2.4154190849850261</v>
      </c>
      <c r="AF247">
        <v>2.6598183880193296</v>
      </c>
      <c r="AG247">
        <v>2.9526063639949678</v>
      </c>
      <c r="AH247">
        <v>3.3094859272522852</v>
      </c>
      <c r="AI247">
        <v>3.7537642194436023</v>
      </c>
      <c r="AJ247">
        <v>4.3215885049959173</v>
      </c>
      <c r="AK247">
        <v>5.0721990826144783</v>
      </c>
      <c r="AL247">
        <v>6.1098735981938086</v>
      </c>
      <c r="AM247">
        <v>7.6367659799999998</v>
      </c>
    </row>
    <row r="248" spans="2:39" hidden="1">
      <c r="B248" t="s">
        <v>424</v>
      </c>
      <c r="C248" s="11" t="s">
        <v>1705</v>
      </c>
      <c r="D248" t="s">
        <v>168</v>
      </c>
      <c r="E248">
        <v>0.96805421103599998</v>
      </c>
      <c r="F248">
        <v>1.23</v>
      </c>
      <c r="G248">
        <v>1</v>
      </c>
      <c r="H248">
        <v>1.0640000000000001</v>
      </c>
      <c r="I248">
        <v>1.0900000000000001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R248">
        <v>594.54999999999995</v>
      </c>
      <c r="S248">
        <v>572.77891902200406</v>
      </c>
      <c r="T248">
        <v>549.90837335609262</v>
      </c>
      <c r="U248">
        <v>525.58007821920114</v>
      </c>
      <c r="V248">
        <v>499.42650609267406</v>
      </c>
      <c r="W248">
        <v>471.07058674200732</v>
      </c>
      <c r="X248">
        <v>440.12539547694507</v>
      </c>
      <c r="Y248">
        <v>406.19382911056249</v>
      </c>
      <c r="Z248">
        <v>368.86826904730174</v>
      </c>
      <c r="AA248">
        <v>327.73023089953455</v>
      </c>
      <c r="AB248">
        <v>282.35000000000002</v>
      </c>
      <c r="AC248">
        <v>1.8099999999999998</v>
      </c>
      <c r="AD248">
        <v>1.9804444911080006</v>
      </c>
      <c r="AE248">
        <v>2.1806113297454219</v>
      </c>
      <c r="AF248">
        <v>2.4187556744289269</v>
      </c>
      <c r="AG248">
        <v>2.7064820485135765</v>
      </c>
      <c r="AH248">
        <v>3.0606327995591065</v>
      </c>
      <c r="AI248">
        <v>3.5066164210516764</v>
      </c>
      <c r="AJ248">
        <v>4.0846429494330332</v>
      </c>
      <c r="AK248">
        <v>4.8623334173885242</v>
      </c>
      <c r="AL248">
        <v>5.9628661352008194</v>
      </c>
      <c r="AM248">
        <v>7.6367659799999998</v>
      </c>
    </row>
    <row r="249" spans="2:39" hidden="1">
      <c r="B249" t="s">
        <v>425</v>
      </c>
      <c r="C249" s="11" t="s">
        <v>1706</v>
      </c>
      <c r="D249" t="s">
        <v>168</v>
      </c>
      <c r="E249">
        <v>0.95785440612999995</v>
      </c>
      <c r="F249">
        <v>1.26</v>
      </c>
      <c r="G249">
        <v>1</v>
      </c>
      <c r="H249">
        <v>1.0580000000000001</v>
      </c>
      <c r="I249">
        <v>1.24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R249">
        <v>617.70000000000005</v>
      </c>
      <c r="S249">
        <v>594.6399812500722</v>
      </c>
      <c r="T249">
        <v>570.61664852253841</v>
      </c>
      <c r="U249">
        <v>545.1486340583715</v>
      </c>
      <c r="V249">
        <v>517.73813978807539</v>
      </c>
      <c r="W249">
        <v>487.87023028783153</v>
      </c>
      <c r="X249">
        <v>455.01208890730607</v>
      </c>
      <c r="Y249">
        <v>418.61223481149273</v>
      </c>
      <c r="Z249">
        <v>378.09969851940741</v>
      </c>
      <c r="AA249">
        <v>332.88315335008292</v>
      </c>
      <c r="AB249">
        <v>282.35000000000002</v>
      </c>
      <c r="AC249">
        <v>1.6400000000000001</v>
      </c>
      <c r="AD249">
        <v>1.803305487257977</v>
      </c>
      <c r="AE249">
        <v>1.9962113638525631</v>
      </c>
      <c r="AF249">
        <v>2.2272145134689629</v>
      </c>
      <c r="AG249">
        <v>2.5083759399110379</v>
      </c>
      <c r="AH249">
        <v>2.8574045183589001</v>
      </c>
      <c r="AI249">
        <v>3.3013956160787106</v>
      </c>
      <c r="AJ249">
        <v>3.8839916826769962</v>
      </c>
      <c r="AK249">
        <v>4.6802765674314211</v>
      </c>
      <c r="AL249">
        <v>5.8312873008519093</v>
      </c>
      <c r="AM249">
        <v>7.6367659799999998</v>
      </c>
    </row>
    <row r="250" spans="2:39">
      <c r="B250" t="s">
        <v>426</v>
      </c>
      <c r="C250" s="11" t="s">
        <v>1707</v>
      </c>
      <c r="D250" t="s">
        <v>176</v>
      </c>
      <c r="E250">
        <v>0.99182000000000003</v>
      </c>
      <c r="F250">
        <v>0.90586</v>
      </c>
      <c r="G250">
        <v>1</v>
      </c>
      <c r="H250">
        <v>1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</row>
    <row r="251" spans="2:39">
      <c r="B251" t="s">
        <v>427</v>
      </c>
      <c r="C251" s="11" t="s">
        <v>1708</v>
      </c>
      <c r="D251" t="s">
        <v>176</v>
      </c>
      <c r="E251">
        <v>1.00597</v>
      </c>
      <c r="F251">
        <v>0.87082000000000004</v>
      </c>
      <c r="G251">
        <v>1</v>
      </c>
      <c r="H251">
        <v>1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</row>
    <row r="252" spans="2:39" hidden="1">
      <c r="B252" t="s">
        <v>428</v>
      </c>
      <c r="C252" s="11" t="s">
        <v>1709</v>
      </c>
      <c r="D252" t="s">
        <v>168</v>
      </c>
      <c r="E252">
        <v>0.98631862930400005</v>
      </c>
      <c r="F252">
        <v>0.90094953</v>
      </c>
      <c r="G252">
        <v>0.99748064518000001</v>
      </c>
      <c r="H252">
        <v>1.032876701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R252">
        <v>304.12819999999999</v>
      </c>
      <c r="S252">
        <v>298.27123541465835</v>
      </c>
      <c r="T252">
        <v>293.97975920448755</v>
      </c>
      <c r="U252">
        <v>291.16644946230616</v>
      </c>
      <c r="V252">
        <v>289.74302464068489</v>
      </c>
      <c r="W252">
        <v>289.62023033294793</v>
      </c>
      <c r="X252">
        <v>290.7078258350619</v>
      </c>
      <c r="Y252">
        <v>292.91457048416345</v>
      </c>
      <c r="Z252">
        <v>296.14820976938029</v>
      </c>
      <c r="AA252">
        <v>300.31546121050786</v>
      </c>
      <c r="AB252">
        <v>305.322</v>
      </c>
      <c r="AC252">
        <v>10.624906299999999</v>
      </c>
      <c r="AD252">
        <v>10.03950166898567</v>
      </c>
      <c r="AE252">
        <v>9.5198209497852488</v>
      </c>
      <c r="AF252">
        <v>9.0560425866492711</v>
      </c>
      <c r="AG252">
        <v>8.6402240398313861</v>
      </c>
      <c r="AH252">
        <v>8.2658753951285675</v>
      </c>
      <c r="AI252">
        <v>7.9276441663369708</v>
      </c>
      <c r="AJ252">
        <v>7.6210788923830952</v>
      </c>
      <c r="AK252">
        <v>7.3424494901661301</v>
      </c>
      <c r="AL252">
        <v>7.0886091006109186</v>
      </c>
      <c r="AM252">
        <v>6.8568866850000001</v>
      </c>
    </row>
    <row r="253" spans="2:39">
      <c r="B253" t="s">
        <v>429</v>
      </c>
      <c r="C253" s="11" t="s">
        <v>1710</v>
      </c>
      <c r="D253" t="s">
        <v>176</v>
      </c>
      <c r="E253">
        <v>1.03539</v>
      </c>
      <c r="F253">
        <v>0.89844000000000002</v>
      </c>
      <c r="G253">
        <v>1</v>
      </c>
      <c r="H253">
        <v>1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</row>
    <row r="254" spans="2:39" hidden="1">
      <c r="B254" t="s">
        <v>430</v>
      </c>
      <c r="C254" s="11" t="s">
        <v>1711</v>
      </c>
      <c r="D254" t="s">
        <v>168</v>
      </c>
      <c r="E254">
        <v>0.99019735399999997</v>
      </c>
      <c r="F254">
        <v>0.90273665999999997</v>
      </c>
      <c r="G254">
        <v>1.010817909</v>
      </c>
      <c r="H254">
        <v>1.0309882770000001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R254">
        <v>373.1</v>
      </c>
      <c r="S254">
        <v>359.67627409881794</v>
      </c>
      <c r="T254">
        <v>347.9188772991921</v>
      </c>
      <c r="U254">
        <v>337.75773929739762</v>
      </c>
      <c r="V254">
        <v>329.1222386828166</v>
      </c>
      <c r="W254">
        <v>321.94119750915468</v>
      </c>
      <c r="X254">
        <v>316.14287580135885</v>
      </c>
      <c r="Y254">
        <v>311.65496599734576</v>
      </c>
      <c r="Z254">
        <v>308.40458732363516</v>
      </c>
      <c r="AA254">
        <v>306.31828010397174</v>
      </c>
      <c r="AB254">
        <v>305.322</v>
      </c>
      <c r="AC254">
        <v>10.19</v>
      </c>
      <c r="AD254">
        <v>9.6630025644250228</v>
      </c>
      <c r="AE254">
        <v>9.2061096689849933</v>
      </c>
      <c r="AF254">
        <v>8.8046379026365233</v>
      </c>
      <c r="AG254">
        <v>8.4474284170653</v>
      </c>
      <c r="AH254">
        <v>8.1258442301759342</v>
      </c>
      <c r="AI254">
        <v>7.8330961528369691</v>
      </c>
      <c r="AJ254">
        <v>7.5637788098203611</v>
      </c>
      <c r="AK254">
        <v>7.3135445857431591</v>
      </c>
      <c r="AL254">
        <v>7.0788701985635196</v>
      </c>
      <c r="AM254">
        <v>6.8568866850000001</v>
      </c>
    </row>
    <row r="255" spans="2:39">
      <c r="B255" t="s">
        <v>431</v>
      </c>
      <c r="C255" s="11" t="s">
        <v>1712</v>
      </c>
      <c r="D255" t="s">
        <v>176</v>
      </c>
      <c r="E255">
        <v>1</v>
      </c>
      <c r="F255">
        <v>1.002</v>
      </c>
      <c r="G255">
        <v>1</v>
      </c>
      <c r="H255">
        <v>1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</row>
    <row r="256" spans="2:39" hidden="1">
      <c r="B256" t="s">
        <v>432</v>
      </c>
      <c r="C256" s="11" t="s">
        <v>1713</v>
      </c>
      <c r="D256" t="s">
        <v>168</v>
      </c>
      <c r="E256">
        <v>0.99619969399999997</v>
      </c>
      <c r="F256">
        <v>1.0147301900000001</v>
      </c>
      <c r="G256">
        <v>0.99760727699999996</v>
      </c>
      <c r="H256">
        <v>1.00303472</v>
      </c>
      <c r="I256">
        <v>0.13042476515000001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R256">
        <v>369.89</v>
      </c>
      <c r="S256">
        <v>363.85890641141907</v>
      </c>
      <c r="T256">
        <v>357.81586730115725</v>
      </c>
      <c r="U256">
        <v>351.73005167946337</v>
      </c>
      <c r="V256">
        <v>345.57053471618337</v>
      </c>
      <c r="W256">
        <v>339.30629738345942</v>
      </c>
      <c r="X256">
        <v>332.90622609679667</v>
      </c>
      <c r="Y256">
        <v>326.33911235448738</v>
      </c>
      <c r="Z256">
        <v>319.57365237538312</v>
      </c>
      <c r="AA256">
        <v>312.57844673500756</v>
      </c>
      <c r="AB256">
        <v>305.322</v>
      </c>
      <c r="AC256">
        <v>5</v>
      </c>
      <c r="AD256">
        <v>5.1450348906671888</v>
      </c>
      <c r="AE256">
        <v>5.2966145761286452</v>
      </c>
      <c r="AF256">
        <v>5.4554397460856379</v>
      </c>
      <c r="AG256">
        <v>5.6223171171181416</v>
      </c>
      <c r="AH256">
        <v>5.798177967503122</v>
      </c>
      <c r="AI256">
        <v>5.9841007338875061</v>
      </c>
      <c r="AJ256">
        <v>6.1813387738052423</v>
      </c>
      <c r="AK256">
        <v>6.3913547529365609</v>
      </c>
      <c r="AL256">
        <v>6.6158636041664405</v>
      </c>
      <c r="AM256">
        <v>6.8568866850000001</v>
      </c>
    </row>
    <row r="257" spans="2:39">
      <c r="B257" t="s">
        <v>433</v>
      </c>
      <c r="C257" s="11" t="s">
        <v>1714</v>
      </c>
      <c r="D257" t="s">
        <v>176</v>
      </c>
      <c r="E257">
        <v>1.0314700000000001</v>
      </c>
      <c r="F257">
        <v>0.93581000000000003</v>
      </c>
      <c r="G257">
        <v>1</v>
      </c>
      <c r="H257">
        <v>1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</row>
    <row r="258" spans="2:39">
      <c r="B258" t="s">
        <v>434</v>
      </c>
      <c r="C258" s="11" t="s">
        <v>1715</v>
      </c>
      <c r="D258" t="s">
        <v>176</v>
      </c>
      <c r="E258">
        <v>1.0115700000000001</v>
      </c>
      <c r="F258">
        <v>0.93960999999999995</v>
      </c>
      <c r="G258">
        <v>1</v>
      </c>
      <c r="H258">
        <v>1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</row>
    <row r="259" spans="2:39">
      <c r="B259" t="s">
        <v>435</v>
      </c>
      <c r="C259" s="11" t="s">
        <v>1716</v>
      </c>
      <c r="D259" t="s">
        <v>176</v>
      </c>
      <c r="E259">
        <v>1</v>
      </c>
      <c r="F259">
        <v>1.0387999999999999</v>
      </c>
      <c r="G259">
        <v>1</v>
      </c>
      <c r="H259">
        <v>1.0476000000000001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</row>
    <row r="260" spans="2:39" hidden="1">
      <c r="B260" t="s">
        <v>436</v>
      </c>
      <c r="C260" s="11" t="s">
        <v>1717</v>
      </c>
      <c r="D260" t="s">
        <v>168</v>
      </c>
      <c r="E260">
        <v>1</v>
      </c>
      <c r="F260">
        <v>1.033283811</v>
      </c>
      <c r="G260">
        <v>1</v>
      </c>
      <c r="H260">
        <v>1.006616886</v>
      </c>
      <c r="I260">
        <v>0.260632376098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R260">
        <v>407.81</v>
      </c>
      <c r="S260">
        <v>399.00897405185594</v>
      </c>
      <c r="T260">
        <v>389.88622053663289</v>
      </c>
      <c r="U260">
        <v>380.44173945433056</v>
      </c>
      <c r="V260">
        <v>370.67553080494918</v>
      </c>
      <c r="W260">
        <v>360.58759458848874</v>
      </c>
      <c r="X260">
        <v>350.1779308049492</v>
      </c>
      <c r="Y260">
        <v>339.4465394543306</v>
      </c>
      <c r="Z260">
        <v>328.39342053663279</v>
      </c>
      <c r="AA260">
        <v>317.01857405185592</v>
      </c>
      <c r="AB260">
        <v>305.322</v>
      </c>
      <c r="AC260">
        <v>3.8797567879999999</v>
      </c>
      <c r="AD260">
        <v>4.0676700642825914</v>
      </c>
      <c r="AE260">
        <v>4.2718064514950722</v>
      </c>
      <c r="AF260">
        <v>4.494297585330469</v>
      </c>
      <c r="AG260">
        <v>4.7376634171440273</v>
      </c>
      <c r="AH260">
        <v>5.0049047544429008</v>
      </c>
      <c r="AI260">
        <v>5.2996235844502708</v>
      </c>
      <c r="AJ260">
        <v>5.6261814243615866</v>
      </c>
      <c r="AK260">
        <v>5.9899104982387747</v>
      </c>
      <c r="AL260">
        <v>6.3973995110125585</v>
      </c>
      <c r="AM260">
        <v>6.8568866850000001</v>
      </c>
    </row>
    <row r="261" spans="2:39">
      <c r="B261" t="s">
        <v>437</v>
      </c>
      <c r="C261" s="11" t="s">
        <v>1718</v>
      </c>
      <c r="D261" t="s">
        <v>176</v>
      </c>
      <c r="E261">
        <v>1.0288172</v>
      </c>
      <c r="F261">
        <v>0.97002999999999995</v>
      </c>
      <c r="G261">
        <v>1</v>
      </c>
      <c r="H261">
        <v>1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</row>
    <row r="262" spans="2:39" hidden="1">
      <c r="B262" t="s">
        <v>438</v>
      </c>
      <c r="C262" s="11" t="s">
        <v>1719</v>
      </c>
      <c r="D262" t="s">
        <v>168</v>
      </c>
      <c r="E262">
        <v>0.99913055399999995</v>
      </c>
      <c r="F262">
        <v>1.034832749</v>
      </c>
      <c r="G262">
        <v>0.99915720500000005</v>
      </c>
      <c r="H262">
        <v>1.006179146</v>
      </c>
      <c r="I262">
        <v>0.28157007308499998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R262">
        <v>425.125</v>
      </c>
      <c r="S262">
        <v>414.46666653644183</v>
      </c>
      <c r="T262">
        <v>403.5352922882426</v>
      </c>
      <c r="U262">
        <v>392.32311313462276</v>
      </c>
      <c r="V262">
        <v>380.82235955300791</v>
      </c>
      <c r="W262">
        <v>369.02525661432969</v>
      </c>
      <c r="X262">
        <v>356.92402397832302</v>
      </c>
      <c r="Y262">
        <v>344.51087588881722</v>
      </c>
      <c r="Z262">
        <v>331.77802116902262</v>
      </c>
      <c r="AA262">
        <v>318.71766321681253</v>
      </c>
      <c r="AB262">
        <v>305.322</v>
      </c>
      <c r="AC262">
        <v>3.9227696129999998</v>
      </c>
      <c r="AD262">
        <v>4.1101777372301154</v>
      </c>
      <c r="AE262">
        <v>4.3132349944061659</v>
      </c>
      <c r="AF262">
        <v>4.5339927998251097</v>
      </c>
      <c r="AG262">
        <v>4.7748803516983473</v>
      </c>
      <c r="AH262">
        <v>5.0387958895189406</v>
      </c>
      <c r="AI262">
        <v>5.3292257458261698</v>
      </c>
      <c r="AJ262">
        <v>5.6504015943908641</v>
      </c>
      <c r="AK262">
        <v>6.0075109993214539</v>
      </c>
      <c r="AL262">
        <v>6.4069836045397945</v>
      </c>
      <c r="AM262">
        <v>6.8568866850000001</v>
      </c>
    </row>
    <row r="263" spans="2:39" hidden="1">
      <c r="B263" t="s">
        <v>439</v>
      </c>
      <c r="C263" s="11" t="s">
        <v>1720</v>
      </c>
      <c r="D263" t="s">
        <v>168</v>
      </c>
      <c r="E263">
        <v>1</v>
      </c>
      <c r="F263">
        <v>1.021150247</v>
      </c>
      <c r="G263">
        <v>1</v>
      </c>
      <c r="H263">
        <v>1.0454399350000001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R263">
        <v>460.35</v>
      </c>
      <c r="S263">
        <v>444.84719997206253</v>
      </c>
      <c r="T263">
        <v>429.34439995033347</v>
      </c>
      <c r="U263">
        <v>413.84159993481251</v>
      </c>
      <c r="V263">
        <v>398.33879992550004</v>
      </c>
      <c r="W263">
        <v>382.8359999223959</v>
      </c>
      <c r="X263">
        <v>367.33319992550008</v>
      </c>
      <c r="Y263">
        <v>351.83039993481259</v>
      </c>
      <c r="Z263">
        <v>336.32759995033337</v>
      </c>
      <c r="AA263">
        <v>320.82479997206252</v>
      </c>
      <c r="AB263">
        <v>305.322</v>
      </c>
      <c r="AC263">
        <v>3.2709999999999999</v>
      </c>
      <c r="AD263">
        <v>3.4513860162601926</v>
      </c>
      <c r="AE263">
        <v>3.6528571648255403</v>
      </c>
      <c r="AF263">
        <v>3.8793398444999392</v>
      </c>
      <c r="AG263">
        <v>4.1357998518918384</v>
      </c>
      <c r="AH263">
        <v>4.4286106935833249</v>
      </c>
      <c r="AI263">
        <v>4.7660904585793773</v>
      </c>
      <c r="AJ263">
        <v>5.1593046824465221</v>
      </c>
      <c r="AK263">
        <v>5.6233027903920263</v>
      </c>
      <c r="AL263">
        <v>6.1790883138988235</v>
      </c>
      <c r="AM263">
        <v>6.8568866850000001</v>
      </c>
    </row>
    <row r="264" spans="2:39" hidden="1">
      <c r="B264" t="s">
        <v>440</v>
      </c>
      <c r="C264" s="11" t="s">
        <v>1721</v>
      </c>
      <c r="D264" t="s">
        <v>168</v>
      </c>
      <c r="E264">
        <v>0.99868894600000002</v>
      </c>
      <c r="F264">
        <v>1.066665676</v>
      </c>
      <c r="G264">
        <v>0.99385100900000001</v>
      </c>
      <c r="H264">
        <v>1.0260856549999999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R264">
        <v>469.65899999999999</v>
      </c>
      <c r="S264">
        <v>456.10687869846026</v>
      </c>
      <c r="T264">
        <v>441.94825871957471</v>
      </c>
      <c r="U264">
        <v>427.17046881273251</v>
      </c>
      <c r="V264">
        <v>411.76082443194468</v>
      </c>
      <c r="W264">
        <v>395.70662771840085</v>
      </c>
      <c r="X264">
        <v>378.99516748299993</v>
      </c>
      <c r="Y264">
        <v>361.61371918885277</v>
      </c>
      <c r="Z264">
        <v>343.54954493375681</v>
      </c>
      <c r="AA264">
        <v>324.78989343264391</v>
      </c>
      <c r="AB264">
        <v>305.322</v>
      </c>
      <c r="AC264">
        <v>3.2599099999999996</v>
      </c>
      <c r="AD264">
        <v>3.4517553043782607</v>
      </c>
      <c r="AE264">
        <v>3.663566118978606</v>
      </c>
      <c r="AF264">
        <v>3.8990023511657448</v>
      </c>
      <c r="AG264">
        <v>4.1627027737825584</v>
      </c>
      <c r="AH264">
        <v>4.4606320559531554</v>
      </c>
      <c r="AI264">
        <v>4.8005862956304179</v>
      </c>
      <c r="AJ264">
        <v>5.1929485429418856</v>
      </c>
      <c r="AK264">
        <v>5.6518515907898861</v>
      </c>
      <c r="AL264">
        <v>6.197029569152952</v>
      </c>
      <c r="AM264">
        <v>6.8568866850000001</v>
      </c>
    </row>
    <row r="265" spans="2:39" hidden="1">
      <c r="B265" t="s">
        <v>1446</v>
      </c>
      <c r="C265" s="11" t="s">
        <v>1722</v>
      </c>
      <c r="D265" t="s">
        <v>168</v>
      </c>
      <c r="E265">
        <v>1.004722194313</v>
      </c>
      <c r="F265">
        <v>0.97689999999999999</v>
      </c>
      <c r="G265">
        <v>1</v>
      </c>
      <c r="H265">
        <v>1</v>
      </c>
      <c r="I265">
        <v>2.1861999999999999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R265">
        <v>508.1</v>
      </c>
      <c r="S265">
        <v>484.13446897921858</v>
      </c>
      <c r="T265">
        <v>460.87165457848607</v>
      </c>
      <c r="U265">
        <v>438.35563835872006</v>
      </c>
      <c r="V265">
        <v>416.63033558798656</v>
      </c>
      <c r="W265">
        <v>395.7394960249124</v>
      </c>
      <c r="X265">
        <v>375.72670469767377</v>
      </c>
      <c r="Y265">
        <v>356.63538267858951</v>
      </c>
      <c r="Z265">
        <v>338.50878785434685</v>
      </c>
      <c r="AA265">
        <v>321.39001569189031</v>
      </c>
      <c r="AB265">
        <v>305.322</v>
      </c>
      <c r="AC265">
        <v>4.7</v>
      </c>
      <c r="AD265">
        <v>4.8615652001741889</v>
      </c>
      <c r="AE265">
        <v>5.0325043812251797</v>
      </c>
      <c r="AF265">
        <v>5.2136172487744243</v>
      </c>
      <c r="AG265">
        <v>5.4057958689120085</v>
      </c>
      <c r="AH265">
        <v>5.610038345832308</v>
      </c>
      <c r="AI265">
        <v>5.8274650016018184</v>
      </c>
      <c r="AJ265">
        <v>6.0593376087104289</v>
      </c>
      <c r="AK265">
        <v>6.3070823690368378</v>
      </c>
      <c r="AL265">
        <v>6.5723175190046055</v>
      </c>
      <c r="AM265">
        <v>6.8568866850000001</v>
      </c>
    </row>
    <row r="266" spans="2:39" hidden="1">
      <c r="B266" t="s">
        <v>441</v>
      </c>
      <c r="C266" s="11" t="s">
        <v>1723</v>
      </c>
      <c r="D266" t="s">
        <v>168</v>
      </c>
      <c r="E266">
        <v>0.97699999999999998</v>
      </c>
      <c r="F266">
        <v>1.0109999999999999</v>
      </c>
      <c r="G266">
        <v>1</v>
      </c>
      <c r="H266">
        <v>1</v>
      </c>
      <c r="I266">
        <v>2.7509999999999999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R266">
        <v>513.38</v>
      </c>
      <c r="S266">
        <v>489.60349372316148</v>
      </c>
      <c r="T266">
        <v>467.06401132083113</v>
      </c>
      <c r="U266">
        <v>445.55220848644689</v>
      </c>
      <c r="V266">
        <v>424.85486273764917</v>
      </c>
      <c r="W266">
        <v>404.75478319273645</v>
      </c>
      <c r="X266">
        <v>385.03071781654955</v>
      </c>
      <c r="Y266">
        <v>365.45725805258519</v>
      </c>
      <c r="Z266">
        <v>345.80474075500581</v>
      </c>
      <c r="AA266">
        <v>325.83914733093326</v>
      </c>
      <c r="AB266">
        <v>305.322</v>
      </c>
      <c r="AC266">
        <v>8.7851700000000008</v>
      </c>
      <c r="AD266">
        <v>8.5535593039986715</v>
      </c>
      <c r="AE266">
        <v>8.3320132176041177</v>
      </c>
      <c r="AF266">
        <v>8.1199121374254872</v>
      </c>
      <c r="AG266">
        <v>7.9166858633790262</v>
      </c>
      <c r="AH266">
        <v>7.7218087818000827</v>
      </c>
      <c r="AI266">
        <v>7.5347956010361337</v>
      </c>
      <c r="AJ266">
        <v>7.3551975669898502</v>
      </c>
      <c r="AK266">
        <v>7.1825990967626616</v>
      </c>
      <c r="AL266">
        <v>7.0166147774932472</v>
      </c>
      <c r="AM266">
        <v>6.8568866850000001</v>
      </c>
    </row>
    <row r="267" spans="2:39" hidden="1">
      <c r="B267" t="s">
        <v>442</v>
      </c>
      <c r="C267" s="11" t="s">
        <v>1724</v>
      </c>
      <c r="D267" t="s">
        <v>168</v>
      </c>
      <c r="E267">
        <v>1</v>
      </c>
      <c r="F267">
        <v>1.0921777960000001</v>
      </c>
      <c r="G267">
        <v>1</v>
      </c>
      <c r="H267">
        <v>1.1697011020000001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R267">
        <v>507.82</v>
      </c>
      <c r="S267">
        <v>491.79790670585788</v>
      </c>
      <c r="T267">
        <v>474.83632303263624</v>
      </c>
      <c r="U267">
        <v>456.9352489803349</v>
      </c>
      <c r="V267">
        <v>438.09468454895432</v>
      </c>
      <c r="W267">
        <v>418.31462973849409</v>
      </c>
      <c r="X267">
        <v>397.59508454895433</v>
      </c>
      <c r="Y267">
        <v>375.93604898033499</v>
      </c>
      <c r="Z267">
        <v>353.33752303263617</v>
      </c>
      <c r="AA267">
        <v>329.79950670585788</v>
      </c>
      <c r="AB267">
        <v>305.322</v>
      </c>
      <c r="AC267">
        <v>2.706</v>
      </c>
      <c r="AD267">
        <v>2.8452948929966322</v>
      </c>
      <c r="AE267">
        <v>3.0082902628394703</v>
      </c>
      <c r="AF267">
        <v>3.2008082743102295</v>
      </c>
      <c r="AG267">
        <v>3.4308084875107805</v>
      </c>
      <c r="AH267">
        <v>3.7094612409126722</v>
      </c>
      <c r="AI267">
        <v>4.0529409458873511</v>
      </c>
      <c r="AJ267">
        <v>4.485573373706683</v>
      </c>
      <c r="AK267">
        <v>5.0457011743804019</v>
      </c>
      <c r="AL267">
        <v>5.7974669585639047</v>
      </c>
      <c r="AM267">
        <v>6.8568866850000001</v>
      </c>
    </row>
    <row r="268" spans="2:39">
      <c r="B268" t="s">
        <v>443</v>
      </c>
      <c r="C268" s="11" t="s">
        <v>1725</v>
      </c>
      <c r="D268" t="s">
        <v>176</v>
      </c>
      <c r="E268">
        <v>0.99399999999999999</v>
      </c>
      <c r="F268">
        <v>1.0860000000000001</v>
      </c>
      <c r="G268">
        <v>1</v>
      </c>
      <c r="H268">
        <v>1.179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</row>
    <row r="269" spans="2:39">
      <c r="B269" t="s">
        <v>444</v>
      </c>
      <c r="C269" s="11" t="s">
        <v>1726</v>
      </c>
      <c r="D269" t="s">
        <v>176</v>
      </c>
      <c r="E269">
        <v>1</v>
      </c>
      <c r="F269">
        <v>1.081</v>
      </c>
      <c r="G269">
        <v>1</v>
      </c>
      <c r="H269">
        <v>1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</row>
    <row r="270" spans="2:39">
      <c r="B270" t="s">
        <v>445</v>
      </c>
      <c r="C270" s="11" t="s">
        <v>1727</v>
      </c>
      <c r="D270" t="s">
        <v>176</v>
      </c>
      <c r="E270">
        <v>0.99580000000000002</v>
      </c>
      <c r="F270">
        <v>1.1004</v>
      </c>
      <c r="G270">
        <v>1</v>
      </c>
      <c r="H270">
        <v>1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</row>
    <row r="271" spans="2:39" hidden="1">
      <c r="B271" t="s">
        <v>446</v>
      </c>
      <c r="C271" s="11" t="s">
        <v>1728</v>
      </c>
      <c r="D271" t="s">
        <v>168</v>
      </c>
      <c r="E271">
        <v>1</v>
      </c>
      <c r="F271">
        <v>1.1345320139999999</v>
      </c>
      <c r="G271">
        <v>1</v>
      </c>
      <c r="H271">
        <v>1.0576660849999999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R271">
        <v>540.20000000000005</v>
      </c>
      <c r="S271">
        <v>523.55170009394556</v>
      </c>
      <c r="T271">
        <v>505.38351127812535</v>
      </c>
      <c r="U271">
        <v>485.69543355253927</v>
      </c>
      <c r="V271">
        <v>464.48746691718782</v>
      </c>
      <c r="W271">
        <v>441.75961137207065</v>
      </c>
      <c r="X271">
        <v>417.51186691718783</v>
      </c>
      <c r="Y271">
        <v>391.74423355253936</v>
      </c>
      <c r="Z271">
        <v>364.45671127812523</v>
      </c>
      <c r="AA271">
        <v>335.64930009394539</v>
      </c>
      <c r="AB271">
        <v>305.322</v>
      </c>
      <c r="AC271">
        <v>2.33</v>
      </c>
      <c r="AD271">
        <v>2.5057380743008975</v>
      </c>
      <c r="AE271">
        <v>2.7072691509324263</v>
      </c>
      <c r="AF271">
        <v>2.9406554479679943</v>
      </c>
      <c r="AG271">
        <v>3.2140181577938782</v>
      </c>
      <c r="AH271">
        <v>3.5384925943290422</v>
      </c>
      <c r="AI271">
        <v>3.9297694159001351</v>
      </c>
      <c r="AJ271">
        <v>4.4106892669601603</v>
      </c>
      <c r="AK271">
        <v>5.0158388386614199</v>
      </c>
      <c r="AL271">
        <v>5.8002151948697609</v>
      </c>
      <c r="AM271">
        <v>6.8568866850000001</v>
      </c>
    </row>
    <row r="272" spans="2:39">
      <c r="B272" t="s">
        <v>447</v>
      </c>
      <c r="C272" s="11" t="s">
        <v>1729</v>
      </c>
      <c r="D272" t="s">
        <v>176</v>
      </c>
      <c r="E272">
        <v>0.90358000000000005</v>
      </c>
      <c r="F272">
        <v>1.2287699999999999</v>
      </c>
      <c r="G272">
        <v>1</v>
      </c>
      <c r="H272">
        <v>1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</row>
    <row r="273" spans="2:39" hidden="1">
      <c r="B273" t="s">
        <v>448</v>
      </c>
      <c r="C273" s="11" t="s">
        <v>1730</v>
      </c>
      <c r="D273" t="s">
        <v>168</v>
      </c>
      <c r="E273">
        <v>1</v>
      </c>
      <c r="F273">
        <v>1</v>
      </c>
      <c r="G273">
        <v>1</v>
      </c>
      <c r="H273">
        <v>1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R273">
        <v>647.096</v>
      </c>
      <c r="S273">
        <v>607.20944014734198</v>
      </c>
      <c r="T273">
        <v>568.5915824841635</v>
      </c>
      <c r="U273">
        <v>531.24242701046433</v>
      </c>
      <c r="V273">
        <v>495.16197372624509</v>
      </c>
      <c r="W273">
        <v>460.35022263150529</v>
      </c>
      <c r="X273">
        <v>426.80717372624508</v>
      </c>
      <c r="Y273">
        <v>394.53282701046453</v>
      </c>
      <c r="Z273">
        <v>363.5271824841634</v>
      </c>
      <c r="AA273">
        <v>333.79024014734188</v>
      </c>
      <c r="AB273">
        <v>305.322</v>
      </c>
      <c r="AC273">
        <v>17.873727995599999</v>
      </c>
      <c r="AD273">
        <v>15.706783067755323</v>
      </c>
      <c r="AE273">
        <v>13.953270738203562</v>
      </c>
      <c r="AF273">
        <v>12.507643985213777</v>
      </c>
      <c r="AG273">
        <v>11.297299070523581</v>
      </c>
      <c r="AH273">
        <v>10.270667327751559</v>
      </c>
      <c r="AI273">
        <v>9.3901226699374902</v>
      </c>
      <c r="AJ273">
        <v>8.6275763842686537</v>
      </c>
      <c r="AK273">
        <v>7.9616420125152461</v>
      </c>
      <c r="AL273">
        <v>7.3757541526193222</v>
      </c>
      <c r="AM273">
        <v>6.8568866850000001</v>
      </c>
    </row>
    <row r="274" spans="2:39">
      <c r="B274" t="s">
        <v>449</v>
      </c>
      <c r="C274" s="11" t="s">
        <v>1731</v>
      </c>
      <c r="D274" t="s">
        <v>176</v>
      </c>
      <c r="E274">
        <v>0.98799999999999999</v>
      </c>
      <c r="F274">
        <v>1.1220000000000001</v>
      </c>
      <c r="G274">
        <v>1</v>
      </c>
      <c r="H274">
        <v>1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</row>
    <row r="275" spans="2:39">
      <c r="B275" t="s">
        <v>450</v>
      </c>
      <c r="C275" s="11" t="s">
        <v>1732</v>
      </c>
      <c r="D275" t="s">
        <v>176</v>
      </c>
      <c r="E275">
        <v>1</v>
      </c>
      <c r="F275">
        <v>1.129</v>
      </c>
      <c r="G275">
        <v>1</v>
      </c>
      <c r="H275">
        <v>1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</row>
    <row r="276" spans="2:39" hidden="1">
      <c r="B276" t="s">
        <v>451</v>
      </c>
      <c r="C276" s="11" t="s">
        <v>1733</v>
      </c>
      <c r="D276" t="s">
        <v>168</v>
      </c>
      <c r="E276">
        <v>0.98406827200000002</v>
      </c>
      <c r="F276">
        <v>1.1686361940000001</v>
      </c>
      <c r="G276">
        <v>1.0074697260000001</v>
      </c>
      <c r="H276">
        <v>1.071917985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R276">
        <v>568.74</v>
      </c>
      <c r="S276">
        <v>550.26685664575325</v>
      </c>
      <c r="T276">
        <v>530.53449505196545</v>
      </c>
      <c r="U276">
        <v>509.36350012563037</v>
      </c>
      <c r="V276">
        <v>486.57215922556145</v>
      </c>
      <c r="W276">
        <v>461.97642526693357</v>
      </c>
      <c r="X276">
        <v>435.38987911254839</v>
      </c>
      <c r="Y276">
        <v>406.62369123467863</v>
      </c>
      <c r="Z276">
        <v>375.48658263093728</v>
      </c>
      <c r="AA276">
        <v>341.78478497717845</v>
      </c>
      <c r="AB276">
        <v>305.322</v>
      </c>
      <c r="AC276">
        <v>2.0310000000000001</v>
      </c>
      <c r="AD276">
        <v>2.195032799591301</v>
      </c>
      <c r="AE276">
        <v>2.3860158873810096</v>
      </c>
      <c r="AF276">
        <v>2.6107759626394009</v>
      </c>
      <c r="AG276">
        <v>2.8786339317340652</v>
      </c>
      <c r="AH276">
        <v>3.2026537914977062</v>
      </c>
      <c r="AI276">
        <v>3.6017247270118076</v>
      </c>
      <c r="AJ276">
        <v>4.1042059370555988</v>
      </c>
      <c r="AK276">
        <v>4.7546979777496787</v>
      </c>
      <c r="AL276">
        <v>5.6275910543462366</v>
      </c>
      <c r="AM276">
        <v>6.8568866850000001</v>
      </c>
    </row>
    <row r="277" spans="2:39">
      <c r="B277" t="s">
        <v>452</v>
      </c>
      <c r="C277" s="11" t="s">
        <v>1734</v>
      </c>
      <c r="D277" t="s">
        <v>176</v>
      </c>
      <c r="E277">
        <v>0.98799000000000003</v>
      </c>
      <c r="F277">
        <v>1.1761600000000001</v>
      </c>
      <c r="G277">
        <v>1</v>
      </c>
      <c r="H277">
        <v>1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</row>
    <row r="278" spans="2:39" hidden="1">
      <c r="B278" t="s">
        <v>453</v>
      </c>
      <c r="C278" s="11" t="s">
        <v>1735</v>
      </c>
      <c r="D278" t="s">
        <v>168</v>
      </c>
      <c r="E278">
        <v>1</v>
      </c>
      <c r="F278">
        <v>1.05603303</v>
      </c>
      <c r="G278">
        <v>1</v>
      </c>
      <c r="H278">
        <v>1.1435347300000001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R278">
        <v>594.54999999999995</v>
      </c>
      <c r="S278">
        <v>565.62719999390913</v>
      </c>
      <c r="T278">
        <v>536.70439998917186</v>
      </c>
      <c r="U278">
        <v>507.78159998578786</v>
      </c>
      <c r="V278">
        <v>478.85879998375765</v>
      </c>
      <c r="W278">
        <v>449.93599998308088</v>
      </c>
      <c r="X278">
        <v>421.01319998375766</v>
      </c>
      <c r="Y278">
        <v>392.09039998578794</v>
      </c>
      <c r="Z278">
        <v>363.16759998917178</v>
      </c>
      <c r="AA278">
        <v>334.24479999390911</v>
      </c>
      <c r="AB278">
        <v>305.322</v>
      </c>
      <c r="AC278">
        <v>1.8099999999999998</v>
      </c>
      <c r="AD278">
        <v>1.9537174723976758</v>
      </c>
      <c r="AE278">
        <v>2.1222496199828411</v>
      </c>
      <c r="AF278">
        <v>2.3226305643653915</v>
      </c>
      <c r="AG278">
        <v>2.5648304269979447</v>
      </c>
      <c r="AH278">
        <v>2.8634656324756085</v>
      </c>
      <c r="AI278">
        <v>3.2408624297045177</v>
      </c>
      <c r="AJ278">
        <v>3.7329125088128534</v>
      </c>
      <c r="AK278">
        <v>4.4012212899149254</v>
      </c>
      <c r="AL278">
        <v>5.3611596374728991</v>
      </c>
      <c r="AM278">
        <v>6.8568866850000001</v>
      </c>
    </row>
    <row r="279" spans="2:39">
      <c r="B279" t="s">
        <v>454</v>
      </c>
      <c r="C279" s="11" t="s">
        <v>1736</v>
      </c>
      <c r="D279" t="s">
        <v>176</v>
      </c>
      <c r="E279">
        <v>0.98123870000000002</v>
      </c>
      <c r="F279">
        <v>1.1950000000000001</v>
      </c>
      <c r="G279">
        <v>1</v>
      </c>
      <c r="H279">
        <v>1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</row>
    <row r="280" spans="2:39" hidden="1">
      <c r="B280" t="s">
        <v>455</v>
      </c>
      <c r="C280" s="11" t="s">
        <v>1737</v>
      </c>
      <c r="D280" t="s">
        <v>168</v>
      </c>
      <c r="E280">
        <v>0.970918061</v>
      </c>
      <c r="F280">
        <v>1.2371915579999999</v>
      </c>
      <c r="G280">
        <v>0.99567625800000004</v>
      </c>
      <c r="H280">
        <v>1.0983612810000001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R280">
        <v>617.70000000000005</v>
      </c>
      <c r="S280">
        <v>597.83029832740385</v>
      </c>
      <c r="T280">
        <v>576.40784614714221</v>
      </c>
      <c r="U280">
        <v>553.08248683403019</v>
      </c>
      <c r="V280">
        <v>527.49584725331545</v>
      </c>
      <c r="W280">
        <v>499.28109533556471</v>
      </c>
      <c r="X280">
        <v>468.0626890174068</v>
      </c>
      <c r="Y280">
        <v>433.45611618722194</v>
      </c>
      <c r="Z280">
        <v>395.0676252575289</v>
      </c>
      <c r="AA280">
        <v>352.49394596753183</v>
      </c>
      <c r="AB280">
        <v>305.322</v>
      </c>
      <c r="AC280">
        <v>1.6400000000000001</v>
      </c>
      <c r="AD280">
        <v>1.7879749843443293</v>
      </c>
      <c r="AE280">
        <v>1.9614342460248977</v>
      </c>
      <c r="AF280">
        <v>2.1676143214821444</v>
      </c>
      <c r="AG280">
        <v>2.4167886433622607</v>
      </c>
      <c r="AH280">
        <v>2.7240478472386265</v>
      </c>
      <c r="AI280">
        <v>3.1124987694222197</v>
      </c>
      <c r="AJ280">
        <v>3.6194030771631858</v>
      </c>
      <c r="AK280">
        <v>4.3089769869029491</v>
      </c>
      <c r="AL280">
        <v>5.302146499967006</v>
      </c>
      <c r="AM280">
        <v>6.8568866850000001</v>
      </c>
    </row>
    <row r="281" spans="2:39">
      <c r="B281" t="s">
        <v>456</v>
      </c>
      <c r="C281" s="11" t="s">
        <v>1738</v>
      </c>
      <c r="D281" t="s">
        <v>176</v>
      </c>
      <c r="E281">
        <v>0.94309370000000003</v>
      </c>
      <c r="F281">
        <v>1.27938</v>
      </c>
      <c r="G281">
        <v>1</v>
      </c>
      <c r="H281">
        <v>1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</row>
    <row r="282" spans="2:39">
      <c r="B282" t="s">
        <v>457</v>
      </c>
      <c r="C282" s="11" t="s">
        <v>1739</v>
      </c>
      <c r="D282" t="s">
        <v>176</v>
      </c>
      <c r="E282">
        <v>0.97</v>
      </c>
      <c r="F282">
        <v>1.3</v>
      </c>
      <c r="G282">
        <v>1</v>
      </c>
      <c r="H282">
        <v>1.24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</row>
    <row r="283" spans="2:39">
      <c r="B283" t="s">
        <v>458</v>
      </c>
      <c r="C283" s="11" t="s">
        <v>1740</v>
      </c>
      <c r="D283" t="s">
        <v>176</v>
      </c>
      <c r="E283">
        <v>0.97626000000000002</v>
      </c>
      <c r="F283">
        <v>0.77302000000000004</v>
      </c>
      <c r="G283">
        <v>1</v>
      </c>
      <c r="H283">
        <v>1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</row>
    <row r="284" spans="2:39">
      <c r="B284" t="s">
        <v>459</v>
      </c>
      <c r="C284" s="11" t="s">
        <v>1741</v>
      </c>
      <c r="D284" t="s">
        <v>176</v>
      </c>
      <c r="E284">
        <v>0.96576367762799997</v>
      </c>
      <c r="F284">
        <v>1.2736000000000001</v>
      </c>
      <c r="G284">
        <v>1</v>
      </c>
      <c r="H284">
        <v>1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</row>
    <row r="285" spans="2:39">
      <c r="B285" t="s">
        <v>460</v>
      </c>
      <c r="C285" s="11" t="s">
        <v>1742</v>
      </c>
      <c r="D285" t="s">
        <v>176</v>
      </c>
      <c r="E285">
        <v>0.98721999999999999</v>
      </c>
      <c r="F285">
        <v>1.1090100000000001</v>
      </c>
      <c r="G285">
        <v>1</v>
      </c>
      <c r="H285">
        <v>1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</row>
    <row r="286" spans="2:39">
      <c r="B286" t="s">
        <v>461</v>
      </c>
      <c r="C286" s="11" t="s">
        <v>1743</v>
      </c>
      <c r="D286" t="s">
        <v>176</v>
      </c>
      <c r="E286">
        <v>1.0025200000000001</v>
      </c>
      <c r="F286">
        <v>0.99760000000000004</v>
      </c>
      <c r="G286">
        <v>1</v>
      </c>
      <c r="H286">
        <v>1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</row>
    <row r="287" spans="2:39">
      <c r="B287" t="s">
        <v>462</v>
      </c>
      <c r="C287" s="11" t="s">
        <v>1744</v>
      </c>
      <c r="D287" t="s">
        <v>176</v>
      </c>
      <c r="E287">
        <v>1.0214300101860001</v>
      </c>
      <c r="F287">
        <v>0.91759999999999997</v>
      </c>
      <c r="G287">
        <v>1</v>
      </c>
      <c r="H287">
        <v>1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</row>
    <row r="288" spans="2:39">
      <c r="B288" t="s">
        <v>463</v>
      </c>
      <c r="C288" s="11" t="s">
        <v>1745</v>
      </c>
      <c r="D288" t="s">
        <v>176</v>
      </c>
      <c r="E288">
        <v>1.004006</v>
      </c>
      <c r="F288">
        <v>0.96114999999999995</v>
      </c>
      <c r="G288">
        <v>1</v>
      </c>
      <c r="H288">
        <v>1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</row>
    <row r="289" spans="2:16">
      <c r="B289" t="s">
        <v>464</v>
      </c>
      <c r="C289" s="11" t="s">
        <v>1746</v>
      </c>
      <c r="D289" t="s">
        <v>176</v>
      </c>
      <c r="E289">
        <v>0.98451</v>
      </c>
      <c r="F289">
        <v>1.0826499999999999</v>
      </c>
      <c r="G289">
        <v>1</v>
      </c>
      <c r="H289">
        <v>1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</row>
    <row r="290" spans="2:16">
      <c r="B290" t="s">
        <v>465</v>
      </c>
      <c r="C290" s="11" t="s">
        <v>1747</v>
      </c>
      <c r="D290" t="s">
        <v>176</v>
      </c>
      <c r="E290">
        <v>0.99419999999999997</v>
      </c>
      <c r="F290">
        <v>1.0514399999999999</v>
      </c>
      <c r="G290">
        <v>1</v>
      </c>
      <c r="H290">
        <v>1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</row>
    <row r="291" spans="2:16">
      <c r="B291" t="s">
        <v>466</v>
      </c>
      <c r="C291" s="11" t="s">
        <v>1748</v>
      </c>
      <c r="D291" t="s">
        <v>176</v>
      </c>
      <c r="E291">
        <v>1.0082800000000001</v>
      </c>
      <c r="F291">
        <v>1.00217</v>
      </c>
      <c r="G291">
        <v>1</v>
      </c>
      <c r="H291">
        <v>1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</row>
    <row r="292" spans="2:16">
      <c r="B292" t="s">
        <v>467</v>
      </c>
      <c r="C292" s="11" t="s">
        <v>1749</v>
      </c>
      <c r="D292" t="s">
        <v>176</v>
      </c>
      <c r="E292">
        <v>1.0307365643490001</v>
      </c>
      <c r="F292">
        <v>0.94381000000000004</v>
      </c>
      <c r="G292">
        <v>1</v>
      </c>
      <c r="H292">
        <v>1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</row>
    <row r="293" spans="2:16">
      <c r="B293" t="s">
        <v>468</v>
      </c>
      <c r="C293" s="11" t="s">
        <v>1750</v>
      </c>
      <c r="D293" t="s">
        <v>176</v>
      </c>
      <c r="E293">
        <v>0.90069000960900003</v>
      </c>
      <c r="F293">
        <v>1.6505300000000001</v>
      </c>
      <c r="G293">
        <v>1</v>
      </c>
      <c r="H293">
        <v>1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</row>
    <row r="294" spans="2:16">
      <c r="B294" t="s">
        <v>469</v>
      </c>
      <c r="C294" s="11" t="s">
        <v>1751</v>
      </c>
      <c r="D294" t="s">
        <v>176</v>
      </c>
      <c r="E294">
        <v>1.0148100361870001</v>
      </c>
      <c r="F294">
        <v>1.0144899999999999</v>
      </c>
      <c r="G294">
        <v>1</v>
      </c>
      <c r="H294">
        <v>1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</row>
    <row r="295" spans="2:16" hidden="1">
      <c r="B295" t="s">
        <v>470</v>
      </c>
      <c r="C295" s="11" t="s">
        <v>1752</v>
      </c>
      <c r="D295" t="s">
        <v>471</v>
      </c>
      <c r="E295">
        <v>1</v>
      </c>
      <c r="F295">
        <v>0.93509940000000003</v>
      </c>
      <c r="G295">
        <v>1</v>
      </c>
      <c r="H295">
        <v>0.95800300000000005</v>
      </c>
      <c r="I295">
        <v>-0.92900000000000005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</row>
    <row r="296" spans="2:16">
      <c r="B296" t="s">
        <v>472</v>
      </c>
      <c r="C296" s="11" t="s">
        <v>1753</v>
      </c>
      <c r="D296" t="s">
        <v>176</v>
      </c>
      <c r="E296">
        <v>1</v>
      </c>
      <c r="F296">
        <v>0.97971399999999997</v>
      </c>
      <c r="G296">
        <v>1</v>
      </c>
      <c r="H296">
        <v>1.0099332999999999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</row>
    <row r="297" spans="2:16">
      <c r="B297" t="s">
        <v>473</v>
      </c>
      <c r="C297" s="11" t="s">
        <v>1754</v>
      </c>
      <c r="D297" t="s">
        <v>176</v>
      </c>
      <c r="E297">
        <v>1</v>
      </c>
      <c r="F297">
        <v>0.90905320000000001</v>
      </c>
      <c r="G297">
        <v>1</v>
      </c>
      <c r="H297">
        <v>1.0229397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</row>
    <row r="298" spans="2:16">
      <c r="B298" t="s">
        <v>474</v>
      </c>
      <c r="C298" s="11" t="s">
        <v>1755</v>
      </c>
      <c r="D298" t="s">
        <v>176</v>
      </c>
      <c r="E298">
        <v>0.99444997469100005</v>
      </c>
      <c r="F298">
        <v>0.91842999999999997</v>
      </c>
      <c r="G298">
        <v>1</v>
      </c>
      <c r="H298">
        <v>1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</row>
    <row r="299" spans="2:16">
      <c r="B299" t="s">
        <v>475</v>
      </c>
      <c r="C299" s="11" t="s">
        <v>1756</v>
      </c>
      <c r="D299" t="s">
        <v>176</v>
      </c>
      <c r="E299">
        <v>1.00116</v>
      </c>
      <c r="F299">
        <v>1.0038499999999999</v>
      </c>
      <c r="G299">
        <v>1</v>
      </c>
      <c r="H299">
        <v>1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</row>
    <row r="300" spans="2:16">
      <c r="B300" t="s">
        <v>476</v>
      </c>
      <c r="C300" s="11" t="s">
        <v>1757</v>
      </c>
      <c r="D300" t="s">
        <v>176</v>
      </c>
      <c r="E300">
        <v>1.0031600000000001</v>
      </c>
      <c r="F300">
        <v>1.00309</v>
      </c>
      <c r="G300">
        <v>1</v>
      </c>
      <c r="H300">
        <v>1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</row>
    <row r="301" spans="2:16">
      <c r="B301" t="s">
        <v>477</v>
      </c>
      <c r="C301" s="11" t="s">
        <v>1758</v>
      </c>
      <c r="D301" t="s">
        <v>176</v>
      </c>
      <c r="E301">
        <v>1</v>
      </c>
      <c r="F301">
        <v>0.91070010000000001</v>
      </c>
      <c r="G301">
        <v>1</v>
      </c>
      <c r="H301">
        <v>1.0085527000000001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</row>
    <row r="302" spans="2:16">
      <c r="B302" t="s">
        <v>478</v>
      </c>
      <c r="C302" s="11" t="s">
        <v>1759</v>
      </c>
      <c r="D302" t="s">
        <v>176</v>
      </c>
      <c r="E302">
        <v>1.008095</v>
      </c>
      <c r="F302">
        <v>1.0038100000000001</v>
      </c>
      <c r="G302">
        <v>1</v>
      </c>
      <c r="H302">
        <v>1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</row>
    <row r="303" spans="2:16">
      <c r="B303" t="s">
        <v>479</v>
      </c>
      <c r="C303" s="11" t="s">
        <v>1760</v>
      </c>
      <c r="D303" t="s">
        <v>176</v>
      </c>
      <c r="E303">
        <v>1.012002347845</v>
      </c>
      <c r="F303">
        <v>0.87585000000000002</v>
      </c>
      <c r="G303">
        <v>1</v>
      </c>
      <c r="H303">
        <v>1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</row>
    <row r="304" spans="2:16">
      <c r="B304" t="s">
        <v>480</v>
      </c>
      <c r="C304" s="11" t="s">
        <v>1761</v>
      </c>
      <c r="D304" t="s">
        <v>176</v>
      </c>
      <c r="E304">
        <v>1</v>
      </c>
      <c r="F304">
        <v>0.98946440000000002</v>
      </c>
      <c r="G304">
        <v>1</v>
      </c>
      <c r="H304">
        <v>1.0038899999999999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</row>
    <row r="305" spans="2:16">
      <c r="B305" t="s">
        <v>481</v>
      </c>
      <c r="C305" s="11" t="s">
        <v>1762</v>
      </c>
      <c r="D305" t="s">
        <v>176</v>
      </c>
      <c r="E305">
        <v>1</v>
      </c>
      <c r="F305">
        <v>0.92660310000000001</v>
      </c>
      <c r="G305">
        <v>1</v>
      </c>
      <c r="H305">
        <v>1.0187876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</row>
    <row r="306" spans="2:16">
      <c r="B306" t="s">
        <v>482</v>
      </c>
      <c r="C306" s="11" t="s">
        <v>1763</v>
      </c>
      <c r="D306" t="s">
        <v>176</v>
      </c>
      <c r="E306">
        <v>1</v>
      </c>
      <c r="F306">
        <v>1.0105431</v>
      </c>
      <c r="G306">
        <v>1</v>
      </c>
      <c r="H306">
        <v>1.0141263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</row>
    <row r="307" spans="2:16">
      <c r="B307" t="s">
        <v>483</v>
      </c>
      <c r="C307" s="11" t="s">
        <v>1764</v>
      </c>
      <c r="D307" t="s">
        <v>176</v>
      </c>
      <c r="E307">
        <v>0.99965009999999999</v>
      </c>
      <c r="F307">
        <v>1.0237799999999999</v>
      </c>
      <c r="G307">
        <v>1</v>
      </c>
      <c r="H307">
        <v>1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</row>
    <row r="308" spans="2:16">
      <c r="B308" t="s">
        <v>484</v>
      </c>
      <c r="C308" s="11" t="s">
        <v>1765</v>
      </c>
      <c r="D308" t="s">
        <v>176</v>
      </c>
      <c r="E308">
        <v>1</v>
      </c>
      <c r="F308">
        <v>1.0091095999999999</v>
      </c>
      <c r="G308">
        <v>1</v>
      </c>
      <c r="H308">
        <v>1.0483990000000001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</row>
    <row r="309" spans="2:16">
      <c r="B309" t="s">
        <v>485</v>
      </c>
      <c r="C309" s="11" t="s">
        <v>1766</v>
      </c>
      <c r="D309" t="s">
        <v>176</v>
      </c>
      <c r="E309">
        <v>1</v>
      </c>
      <c r="F309">
        <v>0.90409200000000001</v>
      </c>
      <c r="G309">
        <v>1</v>
      </c>
      <c r="H309">
        <v>1.0362035999999999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</row>
    <row r="310" spans="2:16">
      <c r="B310" t="s">
        <v>486</v>
      </c>
      <c r="C310" s="11" t="s">
        <v>1767</v>
      </c>
      <c r="D310" t="s">
        <v>176</v>
      </c>
      <c r="E310">
        <v>1.0243382774730001</v>
      </c>
      <c r="F310">
        <v>0.89836000000000005</v>
      </c>
      <c r="G310">
        <v>1</v>
      </c>
      <c r="H310">
        <v>1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</row>
    <row r="311" spans="2:16">
      <c r="B311" t="s">
        <v>487</v>
      </c>
      <c r="C311" s="11" t="s">
        <v>1768</v>
      </c>
      <c r="D311" t="s">
        <v>176</v>
      </c>
      <c r="E311">
        <v>1</v>
      </c>
      <c r="F311">
        <v>0.94156059999999997</v>
      </c>
      <c r="G311">
        <v>1</v>
      </c>
      <c r="H311">
        <v>1.0521609999999999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</row>
    <row r="312" spans="2:16">
      <c r="B312" t="s">
        <v>488</v>
      </c>
      <c r="C312" s="11" t="s">
        <v>1769</v>
      </c>
      <c r="D312" t="s">
        <v>176</v>
      </c>
      <c r="E312">
        <v>1</v>
      </c>
      <c r="F312">
        <v>0.93627669999999996</v>
      </c>
      <c r="G312">
        <v>1</v>
      </c>
      <c r="H312">
        <v>1.0321197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</row>
    <row r="313" spans="2:16">
      <c r="B313" t="s">
        <v>489</v>
      </c>
      <c r="C313" s="11" t="s">
        <v>1770</v>
      </c>
      <c r="D313" t="s">
        <v>176</v>
      </c>
      <c r="E313">
        <v>1.0292619162800001</v>
      </c>
      <c r="F313">
        <v>0.93001</v>
      </c>
      <c r="G313">
        <v>1</v>
      </c>
      <c r="H313">
        <v>1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</row>
    <row r="314" spans="2:16">
      <c r="B314" t="s">
        <v>490</v>
      </c>
      <c r="C314" s="11" t="s">
        <v>1771</v>
      </c>
      <c r="D314" t="s">
        <v>176</v>
      </c>
      <c r="E314">
        <v>1.0349609819709999</v>
      </c>
      <c r="F314">
        <v>0.94006999999999996</v>
      </c>
      <c r="G314">
        <v>1</v>
      </c>
      <c r="H314">
        <v>1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</row>
    <row r="315" spans="2:16">
      <c r="B315" t="s">
        <v>491</v>
      </c>
      <c r="C315" s="11" t="s">
        <v>1772</v>
      </c>
      <c r="D315" t="s">
        <v>176</v>
      </c>
      <c r="E315">
        <v>1</v>
      </c>
      <c r="F315">
        <v>0.9469168</v>
      </c>
      <c r="G315">
        <v>1</v>
      </c>
      <c r="H315">
        <v>1.0698502999999999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</row>
    <row r="316" spans="2:16">
      <c r="B316" t="s">
        <v>492</v>
      </c>
      <c r="C316" s="11" t="s">
        <v>1773</v>
      </c>
      <c r="D316" t="s">
        <v>176</v>
      </c>
      <c r="E316">
        <v>1.104764850802</v>
      </c>
      <c r="F316">
        <v>1.05138</v>
      </c>
      <c r="G316">
        <v>1</v>
      </c>
      <c r="H316">
        <v>1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</row>
    <row r="317" spans="2:16">
      <c r="B317" t="s">
        <v>493</v>
      </c>
      <c r="C317" s="11" t="s">
        <v>1774</v>
      </c>
      <c r="D317" t="s">
        <v>176</v>
      </c>
      <c r="E317">
        <v>0.96909000219899999</v>
      </c>
      <c r="F317">
        <v>1.07054</v>
      </c>
      <c r="G317">
        <v>1</v>
      </c>
      <c r="H317">
        <v>1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</row>
    <row r="318" spans="2:16">
      <c r="B318" t="s">
        <v>494</v>
      </c>
      <c r="C318" s="11" t="s">
        <v>1775</v>
      </c>
      <c r="D318" t="s">
        <v>176</v>
      </c>
      <c r="E318">
        <v>1</v>
      </c>
      <c r="F318">
        <v>0.95738129999999999</v>
      </c>
      <c r="G318">
        <v>1</v>
      </c>
      <c r="H318">
        <v>1.0000414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</row>
    <row r="319" spans="2:16">
      <c r="B319" t="s">
        <v>495</v>
      </c>
      <c r="C319" s="11" t="s">
        <v>1776</v>
      </c>
      <c r="D319" t="s">
        <v>176</v>
      </c>
      <c r="E319">
        <v>0.96284385561200003</v>
      </c>
      <c r="F319">
        <v>0.76463999999999999</v>
      </c>
      <c r="G319">
        <v>1</v>
      </c>
      <c r="H319">
        <v>1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</row>
    <row r="320" spans="2:16">
      <c r="B320" t="s">
        <v>496</v>
      </c>
      <c r="C320" s="11" t="s">
        <v>1777</v>
      </c>
      <c r="D320" t="s">
        <v>176</v>
      </c>
      <c r="E320">
        <v>1</v>
      </c>
      <c r="F320">
        <v>0.98769340000000005</v>
      </c>
      <c r="G320">
        <v>1</v>
      </c>
      <c r="H320">
        <v>1.0026221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</row>
    <row r="321" spans="2:39">
      <c r="B321" t="s">
        <v>497</v>
      </c>
      <c r="C321" s="11" t="s">
        <v>1778</v>
      </c>
      <c r="D321" t="s">
        <v>176</v>
      </c>
      <c r="E321">
        <v>1.004490070616</v>
      </c>
      <c r="F321">
        <v>0.98045000000000004</v>
      </c>
      <c r="G321">
        <v>1</v>
      </c>
      <c r="H321">
        <v>1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</row>
    <row r="322" spans="2:39">
      <c r="B322" t="s">
        <v>498</v>
      </c>
      <c r="C322" s="11" t="s">
        <v>1779</v>
      </c>
      <c r="D322" t="s">
        <v>176</v>
      </c>
      <c r="E322">
        <v>1.002707309736</v>
      </c>
      <c r="F322">
        <v>0.98279000000000005</v>
      </c>
      <c r="G322">
        <v>1</v>
      </c>
      <c r="H322">
        <v>1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</row>
    <row r="323" spans="2:39">
      <c r="B323" t="s">
        <v>499</v>
      </c>
      <c r="C323" s="11" t="s">
        <v>1780</v>
      </c>
      <c r="D323" t="s">
        <v>176</v>
      </c>
      <c r="E323">
        <v>1</v>
      </c>
      <c r="F323">
        <v>1.0143854999999999</v>
      </c>
      <c r="G323">
        <v>1</v>
      </c>
      <c r="H323">
        <v>1.0087680999999999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</row>
    <row r="324" spans="2:39">
      <c r="B324" t="s">
        <v>500</v>
      </c>
      <c r="C324" s="11" t="s">
        <v>1781</v>
      </c>
      <c r="D324" t="s">
        <v>176</v>
      </c>
      <c r="E324">
        <v>1</v>
      </c>
      <c r="F324">
        <v>1.0452965000000001</v>
      </c>
      <c r="G324">
        <v>1</v>
      </c>
      <c r="H324">
        <v>1.0322528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</row>
    <row r="325" spans="2:39" hidden="1">
      <c r="B325" t="s">
        <v>501</v>
      </c>
      <c r="C325" s="11" t="s">
        <v>1782</v>
      </c>
      <c r="D325" t="s">
        <v>471</v>
      </c>
      <c r="E325">
        <v>1</v>
      </c>
      <c r="F325">
        <v>0.99413169999999995</v>
      </c>
      <c r="G325">
        <v>1</v>
      </c>
      <c r="H325">
        <v>0.97718640000000001</v>
      </c>
      <c r="I325">
        <v>-0.54830000000000001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</row>
    <row r="326" spans="2:39">
      <c r="B326" t="s">
        <v>502</v>
      </c>
      <c r="C326" s="11" t="s">
        <v>1783</v>
      </c>
      <c r="D326" t="s">
        <v>176</v>
      </c>
      <c r="E326">
        <v>1.0380799999999999</v>
      </c>
      <c r="F326">
        <v>0.89856999999999998</v>
      </c>
      <c r="G326">
        <v>1</v>
      </c>
      <c r="H326">
        <v>1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</row>
    <row r="327" spans="2:39" hidden="1">
      <c r="B327" t="s">
        <v>503</v>
      </c>
      <c r="C327" s="11" t="s">
        <v>1784</v>
      </c>
      <c r="D327" t="s">
        <v>168</v>
      </c>
      <c r="E327">
        <v>1.0160345829999999</v>
      </c>
      <c r="F327">
        <v>0.92601887999999999</v>
      </c>
      <c r="G327">
        <v>0.90663056399999997</v>
      </c>
      <c r="H327">
        <v>1.0240858370000001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R327">
        <v>373.1</v>
      </c>
      <c r="S327">
        <v>362.11664246646689</v>
      </c>
      <c r="T327">
        <v>351.71663021291045</v>
      </c>
      <c r="U327">
        <v>342.02445233053413</v>
      </c>
      <c r="V327">
        <v>333.16300875179263</v>
      </c>
      <c r="W327">
        <v>325.25363552762201</v>
      </c>
      <c r="X327">
        <v>318.41612962372875</v>
      </c>
      <c r="Y327">
        <v>312.76877324657664</v>
      </c>
      <c r="Z327">
        <v>308.4283577094476</v>
      </c>
      <c r="AA327">
        <v>305.51020684868752</v>
      </c>
      <c r="AB327">
        <v>304.12819999999999</v>
      </c>
      <c r="AC327">
        <v>10.19</v>
      </c>
      <c r="AD327">
        <v>10.332199606130809</v>
      </c>
      <c r="AE327">
        <v>10.396982893894052</v>
      </c>
      <c r="AF327">
        <v>10.400256326381863</v>
      </c>
      <c r="AG327">
        <v>10.362067771415001</v>
      </c>
      <c r="AH327">
        <v>10.304820998748179</v>
      </c>
      <c r="AI327">
        <v>10.252119734460358</v>
      </c>
      <c r="AJ327">
        <v>10.228555437575251</v>
      </c>
      <c r="AK327">
        <v>10.260665192336772</v>
      </c>
      <c r="AL327">
        <v>10.379399916506767</v>
      </c>
      <c r="AM327">
        <v>10.624906299999999</v>
      </c>
    </row>
    <row r="328" spans="2:39">
      <c r="B328" t="s">
        <v>504</v>
      </c>
      <c r="C328" s="11" t="s">
        <v>1785</v>
      </c>
      <c r="D328" t="s">
        <v>176</v>
      </c>
      <c r="E328">
        <v>1</v>
      </c>
      <c r="F328">
        <v>0.99782249999999995</v>
      </c>
      <c r="G328">
        <v>1</v>
      </c>
      <c r="H328">
        <v>1.0058521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</row>
    <row r="329" spans="2:39">
      <c r="B329" t="s">
        <v>505</v>
      </c>
      <c r="C329" s="11" t="s">
        <v>1786</v>
      </c>
      <c r="D329" t="s">
        <v>176</v>
      </c>
      <c r="E329">
        <v>1.00023</v>
      </c>
      <c r="F329">
        <v>0.94450000000000001</v>
      </c>
      <c r="G329">
        <v>1</v>
      </c>
      <c r="H329">
        <v>1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</row>
    <row r="330" spans="2:39">
      <c r="B330" t="s">
        <v>506</v>
      </c>
      <c r="C330" s="11" t="s">
        <v>1787</v>
      </c>
      <c r="D330" t="s">
        <v>176</v>
      </c>
      <c r="E330">
        <v>1.0115000000000001</v>
      </c>
      <c r="F330">
        <v>0.96740999999999999</v>
      </c>
      <c r="G330">
        <v>1</v>
      </c>
      <c r="H330">
        <v>1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</row>
    <row r="331" spans="2:39" hidden="1">
      <c r="B331" t="s">
        <v>507</v>
      </c>
      <c r="C331" s="11" t="s">
        <v>1788</v>
      </c>
      <c r="D331" t="s">
        <v>168</v>
      </c>
      <c r="E331">
        <v>0.997</v>
      </c>
      <c r="F331">
        <v>0.94499999999999995</v>
      </c>
      <c r="G331">
        <v>1.0960000000000001</v>
      </c>
      <c r="H331">
        <v>1.014</v>
      </c>
      <c r="I331">
        <v>-0.36199999999999999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R331">
        <v>364.21100000000001</v>
      </c>
      <c r="S331">
        <v>354.52828057218619</v>
      </c>
      <c r="T331">
        <v>345.72232619799297</v>
      </c>
      <c r="U331">
        <v>337.77064814737344</v>
      </c>
      <c r="V331">
        <v>330.65070366883128</v>
      </c>
      <c r="W331">
        <v>324.33989582711274</v>
      </c>
      <c r="X331">
        <v>318.81557334031396</v>
      </c>
      <c r="Y331">
        <v>314.0550304164002</v>
      </c>
      <c r="Z331">
        <v>310.03550658913412</v>
      </c>
      <c r="AA331">
        <v>306.73418655341106</v>
      </c>
      <c r="AB331">
        <v>304.12819999999999</v>
      </c>
      <c r="AC331">
        <v>5.4569999999999999</v>
      </c>
      <c r="AD331">
        <v>5.6945235074619029</v>
      </c>
      <c r="AE331">
        <v>5.9959400784582568</v>
      </c>
      <c r="AF331">
        <v>6.3633190501505439</v>
      </c>
      <c r="AG331">
        <v>6.7992282288113142</v>
      </c>
      <c r="AH331">
        <v>7.3055238090966794</v>
      </c>
      <c r="AI331">
        <v>7.8816214354567089</v>
      </c>
      <c r="AJ331">
        <v>8.5220045212428985</v>
      </c>
      <c r="AK331">
        <v>9.2128385557214223</v>
      </c>
      <c r="AL331">
        <v>9.9279148614833606</v>
      </c>
      <c r="AM331">
        <v>10.624906299999999</v>
      </c>
    </row>
    <row r="332" spans="2:39">
      <c r="B332" t="s">
        <v>508</v>
      </c>
      <c r="C332" s="11" t="s">
        <v>1789</v>
      </c>
      <c r="D332" t="s">
        <v>176</v>
      </c>
      <c r="E332">
        <v>1.02027</v>
      </c>
      <c r="F332">
        <v>0.98473999999999995</v>
      </c>
      <c r="G332">
        <v>1</v>
      </c>
      <c r="H332">
        <v>1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</row>
    <row r="333" spans="2:39" hidden="1">
      <c r="B333" t="s">
        <v>509</v>
      </c>
      <c r="C333" s="11" t="s">
        <v>1790</v>
      </c>
      <c r="D333" t="s">
        <v>168</v>
      </c>
      <c r="E333">
        <v>1.0336205380000001</v>
      </c>
      <c r="F333">
        <v>0.90877247699999997</v>
      </c>
      <c r="G333">
        <v>0.99689800399999995</v>
      </c>
      <c r="H333">
        <v>1.047596298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R333">
        <v>369.89</v>
      </c>
      <c r="S333">
        <v>358.97627587994248</v>
      </c>
      <c r="T333">
        <v>348.35107101222616</v>
      </c>
      <c r="U333">
        <v>338.27953042822526</v>
      </c>
      <c r="V333">
        <v>329.01974085720263</v>
      </c>
      <c r="W333">
        <v>320.82296404326075</v>
      </c>
      <c r="X333">
        <v>313.93386086813848</v>
      </c>
      <c r="Y333">
        <v>308.59070669978496</v>
      </c>
      <c r="Z333">
        <v>305.02559836486847</v>
      </c>
      <c r="AA333">
        <v>303.46465312286023</v>
      </c>
      <c r="AB333">
        <v>304.12819999999999</v>
      </c>
      <c r="AC333">
        <v>5</v>
      </c>
      <c r="AD333">
        <v>5.2808112322451075</v>
      </c>
      <c r="AE333">
        <v>5.5938025815890295</v>
      </c>
      <c r="AF333">
        <v>5.9452185505807318</v>
      </c>
      <c r="AG333">
        <v>6.3430317552703972</v>
      </c>
      <c r="AH333">
        <v>6.7975833831361614</v>
      </c>
      <c r="AI333">
        <v>7.3225313064980035</v>
      </c>
      <c r="AJ333">
        <v>7.9362932927686645</v>
      </c>
      <c r="AK333">
        <v>8.6643157089920937</v>
      </c>
      <c r="AL333">
        <v>9.5427766566212124</v>
      </c>
      <c r="AM333">
        <v>10.624906299999999</v>
      </c>
    </row>
    <row r="334" spans="2:39">
      <c r="B334" t="s">
        <v>510</v>
      </c>
      <c r="C334" s="11" t="s">
        <v>1791</v>
      </c>
      <c r="D334" t="s">
        <v>176</v>
      </c>
      <c r="E334">
        <v>1</v>
      </c>
      <c r="F334">
        <v>1.0037902999999999</v>
      </c>
      <c r="G334">
        <v>1</v>
      </c>
      <c r="H334">
        <v>1.0261472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</row>
    <row r="335" spans="2:39">
      <c r="B335" t="s">
        <v>511</v>
      </c>
      <c r="C335" s="11" t="s">
        <v>1792</v>
      </c>
      <c r="D335" t="s">
        <v>176</v>
      </c>
      <c r="E335">
        <v>1.0049999999999999</v>
      </c>
      <c r="F335">
        <v>0.99</v>
      </c>
      <c r="G335">
        <v>1</v>
      </c>
      <c r="H335">
        <v>1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</row>
    <row r="336" spans="2:39">
      <c r="B336" t="s">
        <v>512</v>
      </c>
      <c r="C336" s="11" t="s">
        <v>1793</v>
      </c>
      <c r="D336" t="s">
        <v>176</v>
      </c>
      <c r="E336">
        <v>1.0181100000000001</v>
      </c>
      <c r="F336">
        <v>0.95760000000000001</v>
      </c>
      <c r="G336">
        <v>1</v>
      </c>
      <c r="H336">
        <v>1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</row>
    <row r="337" spans="2:39" hidden="1">
      <c r="B337" t="s">
        <v>513</v>
      </c>
      <c r="C337" s="11" t="s">
        <v>1794</v>
      </c>
      <c r="D337" t="s">
        <v>168</v>
      </c>
      <c r="E337">
        <v>1.0169999999999999</v>
      </c>
      <c r="F337">
        <v>1</v>
      </c>
      <c r="G337">
        <v>1</v>
      </c>
      <c r="H337">
        <v>1.0149999999999999</v>
      </c>
      <c r="I337">
        <v>-0.65700000000000003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R337">
        <v>367.85</v>
      </c>
      <c r="S337">
        <v>362.0195537653521</v>
      </c>
      <c r="T337">
        <v>355.69929006085613</v>
      </c>
      <c r="U337">
        <v>349.03103730844975</v>
      </c>
      <c r="V337">
        <v>342.15470498761454</v>
      </c>
      <c r="W337">
        <v>335.2083159801486</v>
      </c>
      <c r="X337">
        <v>328.32803826291399</v>
      </c>
      <c r="Y337">
        <v>321.6482159638386</v>
      </c>
      <c r="Z337">
        <v>315.30139979604922</v>
      </c>
      <c r="AA337">
        <v>309.41837688461555</v>
      </c>
      <c r="AB337">
        <v>304.12819999999999</v>
      </c>
      <c r="AC337">
        <v>4.17</v>
      </c>
      <c r="AD337">
        <v>4.4713056291046094</v>
      </c>
      <c r="AE337">
        <v>4.8113467248507771</v>
      </c>
      <c r="AF337">
        <v>5.1977960373304448</v>
      </c>
      <c r="AG337">
        <v>5.6404767339759081</v>
      </c>
      <c r="AH337">
        <v>6.1521709317312752</v>
      </c>
      <c r="AI337">
        <v>6.7498225265778009</v>
      </c>
      <c r="AJ337">
        <v>7.4563784819911829</v>
      </c>
      <c r="AK337">
        <v>8.3037022954540678</v>
      </c>
      <c r="AL337">
        <v>9.3373662735815248</v>
      </c>
      <c r="AM337">
        <v>10.624906299999999</v>
      </c>
    </row>
    <row r="338" spans="2:39">
      <c r="B338" t="s">
        <v>514</v>
      </c>
      <c r="C338" s="11" t="s">
        <v>1795</v>
      </c>
      <c r="D338" t="s">
        <v>176</v>
      </c>
      <c r="E338">
        <v>1</v>
      </c>
      <c r="F338">
        <v>1.008</v>
      </c>
      <c r="G338">
        <v>1</v>
      </c>
      <c r="H338">
        <v>1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</row>
    <row r="339" spans="2:39">
      <c r="B339" t="s">
        <v>515</v>
      </c>
      <c r="C339" s="11" t="s">
        <v>1796</v>
      </c>
      <c r="D339" t="s">
        <v>176</v>
      </c>
      <c r="E339">
        <v>1</v>
      </c>
      <c r="F339">
        <v>1.028</v>
      </c>
      <c r="G339">
        <v>1</v>
      </c>
      <c r="H339">
        <v>1.0194000000000001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</row>
    <row r="340" spans="2:39">
      <c r="B340" t="s">
        <v>516</v>
      </c>
      <c r="C340" s="11" t="s">
        <v>1797</v>
      </c>
      <c r="D340" t="s">
        <v>176</v>
      </c>
      <c r="E340">
        <v>1.00224</v>
      </c>
      <c r="F340">
        <v>1.0064599999999999</v>
      </c>
      <c r="G340">
        <v>1</v>
      </c>
      <c r="H340">
        <v>1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</row>
    <row r="341" spans="2:39" hidden="1">
      <c r="B341" t="s">
        <v>517</v>
      </c>
      <c r="C341" s="11" t="s">
        <v>1798</v>
      </c>
      <c r="D341" t="s">
        <v>168</v>
      </c>
      <c r="E341">
        <v>1</v>
      </c>
      <c r="F341">
        <v>1.0229999999999999</v>
      </c>
      <c r="G341">
        <v>1</v>
      </c>
      <c r="H341">
        <v>1</v>
      </c>
      <c r="I341">
        <v>-8.4000000000000005E-2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R341">
        <v>382.51299999999998</v>
      </c>
      <c r="S341">
        <v>375.68258777628034</v>
      </c>
      <c r="T341">
        <v>368.62816049116503</v>
      </c>
      <c r="U341">
        <v>361.34971814465399</v>
      </c>
      <c r="V341">
        <v>353.8472607367475</v>
      </c>
      <c r="W341">
        <v>346.12078826744528</v>
      </c>
      <c r="X341">
        <v>338.17030073674749</v>
      </c>
      <c r="Y341">
        <v>329.99579814465403</v>
      </c>
      <c r="Z341">
        <v>321.59728049116507</v>
      </c>
      <c r="AA341">
        <v>312.97474777628031</v>
      </c>
      <c r="AB341">
        <v>304.12819999999999</v>
      </c>
      <c r="AC341">
        <v>4.29</v>
      </c>
      <c r="AD341">
        <v>4.6010937234661888</v>
      </c>
      <c r="AE341">
        <v>4.9506691366698536</v>
      </c>
      <c r="AF341">
        <v>5.3458772317881857</v>
      </c>
      <c r="AG341">
        <v>5.7957221331652917</v>
      </c>
      <c r="AH341">
        <v>6.3116991921105816</v>
      </c>
      <c r="AI341">
        <v>6.9087157409281614</v>
      </c>
      <c r="AJ341">
        <v>7.6064521490918962</v>
      </c>
      <c r="AK341">
        <v>8.4314299872687322</v>
      </c>
      <c r="AL341">
        <v>9.420256363615179</v>
      </c>
      <c r="AM341">
        <v>10.624906299999999</v>
      </c>
    </row>
    <row r="342" spans="2:39">
      <c r="B342" t="s">
        <v>518</v>
      </c>
      <c r="C342" s="11" t="s">
        <v>1799</v>
      </c>
      <c r="D342" t="s">
        <v>176</v>
      </c>
      <c r="E342">
        <v>1.0060800000000001</v>
      </c>
      <c r="F342">
        <v>1.0023500000000001</v>
      </c>
      <c r="G342">
        <v>1</v>
      </c>
      <c r="H342">
        <v>1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</row>
    <row r="343" spans="2:39">
      <c r="B343" t="s">
        <v>519</v>
      </c>
      <c r="C343" s="11" t="s">
        <v>1800</v>
      </c>
      <c r="D343" t="s">
        <v>176</v>
      </c>
      <c r="E343">
        <v>0.99517</v>
      </c>
      <c r="F343">
        <v>1.0102800000000001</v>
      </c>
      <c r="G343">
        <v>1</v>
      </c>
      <c r="H343">
        <v>1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</row>
    <row r="344" spans="2:39" hidden="1">
      <c r="B344" t="s">
        <v>520</v>
      </c>
      <c r="C344" s="11" t="s">
        <v>1801</v>
      </c>
      <c r="D344" t="s">
        <v>168</v>
      </c>
      <c r="E344">
        <v>1.023339824</v>
      </c>
      <c r="F344">
        <v>0.92998293600000004</v>
      </c>
      <c r="G344">
        <v>1.076551882</v>
      </c>
      <c r="H344">
        <v>1.081909003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R344">
        <v>407.81</v>
      </c>
      <c r="S344">
        <v>393.41261572773357</v>
      </c>
      <c r="T344">
        <v>379.41122021894483</v>
      </c>
      <c r="U344">
        <v>365.99918887007584</v>
      </c>
      <c r="V344">
        <v>353.36631198463579</v>
      </c>
      <c r="W344">
        <v>341.69887747241302</v>
      </c>
      <c r="X344">
        <v>331.17975127000238</v>
      </c>
      <c r="Y344">
        <v>321.98845555556136</v>
      </c>
      <c r="Z344">
        <v>314.30124482805775</v>
      </c>
      <c r="AA344">
        <v>308.2911799187255</v>
      </c>
      <c r="AB344">
        <v>304.12819999999999</v>
      </c>
      <c r="AC344">
        <v>3.8797567879999999</v>
      </c>
      <c r="AD344">
        <v>4.1111359877548166</v>
      </c>
      <c r="AE344">
        <v>4.397447964130599</v>
      </c>
      <c r="AF344">
        <v>4.7479418070762502</v>
      </c>
      <c r="AG344">
        <v>5.1749451273262217</v>
      </c>
      <c r="AH344">
        <v>5.6945914971511256</v>
      </c>
      <c r="AI344">
        <v>6.3277353745397917</v>
      </c>
      <c r="AJ344">
        <v>7.1009780060842971</v>
      </c>
      <c r="AK344">
        <v>8.0475516709650954</v>
      </c>
      <c r="AL344">
        <v>9.2073991029233735</v>
      </c>
      <c r="AM344">
        <v>10.624906299999999</v>
      </c>
    </row>
    <row r="345" spans="2:39">
      <c r="B345" t="s">
        <v>521</v>
      </c>
      <c r="C345" s="11" t="s">
        <v>1802</v>
      </c>
      <c r="D345" t="s">
        <v>176</v>
      </c>
      <c r="E345">
        <v>1.0200629999999999</v>
      </c>
      <c r="F345">
        <v>1.0079753</v>
      </c>
      <c r="G345">
        <v>0.88986500000000002</v>
      </c>
      <c r="H345">
        <v>1.0057783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</row>
    <row r="346" spans="2:39">
      <c r="B346" t="s">
        <v>522</v>
      </c>
      <c r="C346" s="11" t="s">
        <v>1803</v>
      </c>
      <c r="D346" t="s">
        <v>176</v>
      </c>
      <c r="E346">
        <v>1</v>
      </c>
      <c r="F346">
        <v>0.98880000000000001</v>
      </c>
      <c r="G346">
        <v>1</v>
      </c>
      <c r="H346">
        <v>1.0626245999999999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</row>
    <row r="347" spans="2:39">
      <c r="B347" t="s">
        <v>523</v>
      </c>
      <c r="C347" s="11" t="s">
        <v>1804</v>
      </c>
      <c r="D347" t="s">
        <v>176</v>
      </c>
      <c r="E347">
        <v>1.0199</v>
      </c>
      <c r="F347">
        <v>0.96799999999999997</v>
      </c>
      <c r="G347">
        <v>1</v>
      </c>
      <c r="H347">
        <v>1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</row>
    <row r="348" spans="2:39">
      <c r="B348" t="s">
        <v>524</v>
      </c>
      <c r="C348" s="11" t="s">
        <v>1805</v>
      </c>
      <c r="D348" t="s">
        <v>176</v>
      </c>
      <c r="E348">
        <v>1.0416341</v>
      </c>
      <c r="F348">
        <v>0.95201000000000002</v>
      </c>
      <c r="G348">
        <v>1</v>
      </c>
      <c r="H348">
        <v>1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</row>
    <row r="349" spans="2:39" hidden="1">
      <c r="B349" t="s">
        <v>525</v>
      </c>
      <c r="C349" s="11" t="s">
        <v>1806</v>
      </c>
      <c r="D349" t="s">
        <v>168</v>
      </c>
      <c r="E349">
        <v>1.018171004</v>
      </c>
      <c r="F349">
        <v>0.91149823100000005</v>
      </c>
      <c r="G349">
        <v>1.174760923</v>
      </c>
      <c r="H349">
        <v>1.2224373239999999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R349">
        <v>425.125</v>
      </c>
      <c r="S349">
        <v>407.24002854810033</v>
      </c>
      <c r="T349">
        <v>390.25334248677802</v>
      </c>
      <c r="U349">
        <v>374.31388050115459</v>
      </c>
      <c r="V349">
        <v>359.56842809775861</v>
      </c>
      <c r="W349">
        <v>346.16165637452639</v>
      </c>
      <c r="X349">
        <v>334.23615995609987</v>
      </c>
      <c r="Y349">
        <v>323.93249411531383</v>
      </c>
      <c r="Z349">
        <v>315.3892111011657</v>
      </c>
      <c r="AA349">
        <v>308.74289569299071</v>
      </c>
      <c r="AB349">
        <v>304.12819999999999</v>
      </c>
      <c r="AC349">
        <v>3.9227696129999998</v>
      </c>
      <c r="AD349">
        <v>4.0383959778839156</v>
      </c>
      <c r="AE349">
        <v>4.2400052415707856</v>
      </c>
      <c r="AF349">
        <v>4.5295689280743963</v>
      </c>
      <c r="AG349">
        <v>4.9161970474437666</v>
      </c>
      <c r="AH349">
        <v>5.4156616715329813</v>
      </c>
      <c r="AI349">
        <v>6.0506831754444796</v>
      </c>
      <c r="AJ349">
        <v>6.8513526456710174</v>
      </c>
      <c r="AK349">
        <v>7.8547018493240124</v>
      </c>
      <c r="AL349">
        <v>9.1013447186574687</v>
      </c>
      <c r="AM349">
        <v>10.624906299999999</v>
      </c>
    </row>
    <row r="350" spans="2:39">
      <c r="B350" t="s">
        <v>526</v>
      </c>
      <c r="C350" s="11" t="s">
        <v>1807</v>
      </c>
      <c r="D350" t="s">
        <v>176</v>
      </c>
      <c r="E350">
        <v>1.0572999999999999</v>
      </c>
      <c r="F350">
        <v>0.95669999999999999</v>
      </c>
      <c r="G350">
        <v>1</v>
      </c>
      <c r="H350">
        <v>1.0801000000000001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</row>
    <row r="351" spans="2:39">
      <c r="B351" t="s">
        <v>527</v>
      </c>
      <c r="C351" s="11" t="s">
        <v>1808</v>
      </c>
      <c r="D351" t="s">
        <v>176</v>
      </c>
      <c r="E351">
        <v>0.98638999999999999</v>
      </c>
      <c r="F351">
        <v>1.0588599999999999</v>
      </c>
      <c r="G351">
        <v>1</v>
      </c>
      <c r="H351">
        <v>1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</row>
    <row r="352" spans="2:39" hidden="1">
      <c r="B352" t="s">
        <v>528</v>
      </c>
      <c r="C352" s="11" t="s">
        <v>1809</v>
      </c>
      <c r="D352" t="s">
        <v>274</v>
      </c>
      <c r="E352">
        <v>1.0047999999999999</v>
      </c>
      <c r="F352">
        <v>0.98519999999999996</v>
      </c>
      <c r="G352">
        <v>1.1167</v>
      </c>
      <c r="H352">
        <v>1.0049999999999999</v>
      </c>
      <c r="I352">
        <v>0.82020000000000004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</row>
    <row r="353" spans="2:39">
      <c r="B353" t="s">
        <v>529</v>
      </c>
      <c r="C353" s="11" t="s">
        <v>1810</v>
      </c>
      <c r="D353" t="s">
        <v>176</v>
      </c>
      <c r="E353">
        <v>1.01217</v>
      </c>
      <c r="F353">
        <v>1.03241</v>
      </c>
      <c r="G353">
        <v>1</v>
      </c>
      <c r="H353">
        <v>1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</row>
    <row r="354" spans="2:39" hidden="1">
      <c r="B354" t="s">
        <v>530</v>
      </c>
      <c r="C354" s="11" t="s">
        <v>1811</v>
      </c>
      <c r="D354" t="s">
        <v>168</v>
      </c>
      <c r="E354">
        <v>1.027000795</v>
      </c>
      <c r="F354">
        <v>0.97921730200000001</v>
      </c>
      <c r="G354">
        <v>1.0243114980000001</v>
      </c>
      <c r="H354">
        <v>1.068406078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R354">
        <v>469.65899999999999</v>
      </c>
      <c r="S354">
        <v>451.5062138783702</v>
      </c>
      <c r="T354">
        <v>433.0540533906871</v>
      </c>
      <c r="U354">
        <v>414.55734908953968</v>
      </c>
      <c r="V354">
        <v>396.26547222889133</v>
      </c>
      <c r="W354">
        <v>378.42248018015727</v>
      </c>
      <c r="X354">
        <v>361.2672572248789</v>
      </c>
      <c r="Y354">
        <v>345.03365089458839</v>
      </c>
      <c r="Z354">
        <v>329.95060402130122</v>
      </c>
      <c r="AA354">
        <v>316.24228265525329</v>
      </c>
      <c r="AB354">
        <v>304.12819999999999</v>
      </c>
      <c r="AC354">
        <v>3.2599099999999996</v>
      </c>
      <c r="AD354">
        <v>3.5124255335912991</v>
      </c>
      <c r="AE354">
        <v>3.809235515251189</v>
      </c>
      <c r="AF354">
        <v>4.1610415152378035</v>
      </c>
      <c r="AG354">
        <v>4.5822470404859965</v>
      </c>
      <c r="AH354">
        <v>5.092656437188313</v>
      </c>
      <c r="AI354">
        <v>5.7201958525314369</v>
      </c>
      <c r="AJ354">
        <v>6.5054486605451576</v>
      </c>
      <c r="AK354">
        <v>7.5095854562796891</v>
      </c>
      <c r="AL354">
        <v>8.8290610905638029</v>
      </c>
      <c r="AM354">
        <v>10.624906299999999</v>
      </c>
    </row>
    <row r="355" spans="2:39">
      <c r="B355" t="s">
        <v>531</v>
      </c>
      <c r="C355" s="11" t="s">
        <v>1812</v>
      </c>
      <c r="D355" t="s">
        <v>176</v>
      </c>
      <c r="E355">
        <v>1.04359</v>
      </c>
      <c r="F355">
        <v>1.0350900000000001</v>
      </c>
      <c r="G355">
        <v>1</v>
      </c>
      <c r="H355">
        <v>1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</row>
    <row r="356" spans="2:39">
      <c r="B356" t="s">
        <v>532</v>
      </c>
      <c r="C356" s="11" t="s">
        <v>1813</v>
      </c>
      <c r="D356" t="s">
        <v>176</v>
      </c>
      <c r="E356">
        <v>1.0223</v>
      </c>
      <c r="F356">
        <v>0.97819999999999996</v>
      </c>
      <c r="G356">
        <v>1</v>
      </c>
      <c r="H356">
        <v>1.0449999999999999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</row>
    <row r="357" spans="2:39" hidden="1">
      <c r="B357" t="s">
        <v>533</v>
      </c>
      <c r="C357" s="11" t="s">
        <v>1814</v>
      </c>
      <c r="D357" t="s">
        <v>168</v>
      </c>
      <c r="E357">
        <v>0.97837784952499995</v>
      </c>
      <c r="F357">
        <v>1.0432999999999999</v>
      </c>
      <c r="G357">
        <v>1</v>
      </c>
      <c r="H357">
        <v>1.1176999999999999</v>
      </c>
      <c r="I357">
        <v>1.6093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R357">
        <v>508.1</v>
      </c>
      <c r="S357">
        <v>487.13818540525591</v>
      </c>
      <c r="T357">
        <v>466.85822342654308</v>
      </c>
      <c r="U357">
        <v>447.05780095165971</v>
      </c>
      <c r="V357">
        <v>427.53108288303724</v>
      </c>
      <c r="W357">
        <v>408.06863516174428</v>
      </c>
      <c r="X357">
        <v>388.45734576377635</v>
      </c>
      <c r="Y357">
        <v>368.48034360603936</v>
      </c>
      <c r="Z357">
        <v>347.91691529721669</v>
      </c>
      <c r="AA357">
        <v>326.54241966640461</v>
      </c>
      <c r="AB357">
        <v>304.12819999999999</v>
      </c>
      <c r="AC357">
        <v>4.7</v>
      </c>
      <c r="AD357">
        <v>4.9370707516576395</v>
      </c>
      <c r="AE357">
        <v>5.2092471423835267</v>
      </c>
      <c r="AF357">
        <v>5.5243383847380416</v>
      </c>
      <c r="AG357">
        <v>5.8926910743077077</v>
      </c>
      <c r="AH357">
        <v>6.3283080581520288</v>
      </c>
      <c r="AI357">
        <v>6.8506168713583522</v>
      </c>
      <c r="AJ357">
        <v>7.4873748080692026</v>
      </c>
      <c r="AK357">
        <v>8.2796651627733358</v>
      </c>
      <c r="AL357">
        <v>9.2909801996887822</v>
      </c>
      <c r="AM357">
        <v>10.624906299999999</v>
      </c>
    </row>
    <row r="358" spans="2:39" hidden="1">
      <c r="B358" t="s">
        <v>534</v>
      </c>
      <c r="C358" s="11" t="s">
        <v>1815</v>
      </c>
      <c r="D358" t="s">
        <v>168</v>
      </c>
      <c r="E358">
        <v>0.996</v>
      </c>
      <c r="F358">
        <v>1.0149999999999999</v>
      </c>
      <c r="G358">
        <v>1.026</v>
      </c>
      <c r="H358">
        <v>1.236</v>
      </c>
      <c r="I358">
        <v>1.77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R358">
        <v>513.38</v>
      </c>
      <c r="S358">
        <v>490.83931876181776</v>
      </c>
      <c r="T358">
        <v>468.75993991575081</v>
      </c>
      <c r="U358">
        <v>447.10371508748972</v>
      </c>
      <c r="V358">
        <v>425.83237368175241</v>
      </c>
      <c r="W358">
        <v>404.90752239242124</v>
      </c>
      <c r="X358">
        <v>384.29064471032507</v>
      </c>
      <c r="Y358">
        <v>363.94310042864703</v>
      </c>
      <c r="Z358">
        <v>343.8261251459503</v>
      </c>
      <c r="AA358">
        <v>323.90082976680424</v>
      </c>
      <c r="AB358">
        <v>304.12819999999999</v>
      </c>
      <c r="AC358">
        <v>8.7851700000000008</v>
      </c>
      <c r="AD358">
        <v>8.5704336684659221</v>
      </c>
      <c r="AE358">
        <v>8.4572084718908442</v>
      </c>
      <c r="AF358">
        <v>8.4317526148698612</v>
      </c>
      <c r="AG358">
        <v>8.4865030100815027</v>
      </c>
      <c r="AH358">
        <v>8.6185928798086753</v>
      </c>
      <c r="AI358">
        <v>8.829154772904614</v>
      </c>
      <c r="AJ358">
        <v>9.1231793723718475</v>
      </c>
      <c r="AK358">
        <v>9.5098584950632876</v>
      </c>
      <c r="AL358">
        <v>10.00345937770861</v>
      </c>
      <c r="AM358">
        <v>10.624906299999999</v>
      </c>
    </row>
    <row r="359" spans="2:39" hidden="1">
      <c r="B359" t="s">
        <v>535</v>
      </c>
      <c r="C359" s="11" t="s">
        <v>1816</v>
      </c>
      <c r="D359" t="s">
        <v>168</v>
      </c>
      <c r="E359">
        <v>1</v>
      </c>
      <c r="F359">
        <v>1.038675574</v>
      </c>
      <c r="G359">
        <v>1</v>
      </c>
      <c r="H359">
        <v>0.85134371099999995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R359">
        <v>507.82</v>
      </c>
      <c r="S359">
        <v>487.84981802438409</v>
      </c>
      <c r="T359">
        <v>467.79096982112719</v>
      </c>
      <c r="U359">
        <v>447.64345539022941</v>
      </c>
      <c r="V359">
        <v>427.40727473169079</v>
      </c>
      <c r="W359">
        <v>407.08242784551123</v>
      </c>
      <c r="X359">
        <v>386.66891473169073</v>
      </c>
      <c r="Y359">
        <v>366.16673539022941</v>
      </c>
      <c r="Z359">
        <v>345.57588982112719</v>
      </c>
      <c r="AA359">
        <v>324.89637802438403</v>
      </c>
      <c r="AB359">
        <v>304.12819999999999</v>
      </c>
      <c r="AC359">
        <v>2.706</v>
      </c>
      <c r="AD359">
        <v>3.0197665819917048</v>
      </c>
      <c r="AE359">
        <v>3.3879258954583471</v>
      </c>
      <c r="AF359">
        <v>3.8227409082502657</v>
      </c>
      <c r="AG359">
        <v>4.3396916015247315</v>
      </c>
      <c r="AH359">
        <v>4.9583011767756959</v>
      </c>
      <c r="AI359">
        <v>5.7030430193131965</v>
      </c>
      <c r="AJ359">
        <v>6.6041413427924924</v>
      </c>
      <c r="AK359">
        <v>7.6977886155283484</v>
      </c>
      <c r="AL359">
        <v>9.0247100223397094</v>
      </c>
      <c r="AM359">
        <v>10.624906299999999</v>
      </c>
    </row>
    <row r="360" spans="2:39" hidden="1">
      <c r="B360" t="s">
        <v>536</v>
      </c>
      <c r="C360" s="11" t="s">
        <v>1817</v>
      </c>
      <c r="D360" t="s">
        <v>187</v>
      </c>
      <c r="E360">
        <v>0.99</v>
      </c>
      <c r="F360">
        <v>0.96599999999999997</v>
      </c>
      <c r="G360">
        <v>1.044</v>
      </c>
      <c r="H360">
        <v>1.1519999999999999</v>
      </c>
      <c r="I360">
        <v>2.8940000000000001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</row>
    <row r="361" spans="2:39" hidden="1">
      <c r="B361" t="s">
        <v>537</v>
      </c>
      <c r="C361" s="11" t="s">
        <v>1818</v>
      </c>
      <c r="D361" t="s">
        <v>168</v>
      </c>
      <c r="E361">
        <v>1</v>
      </c>
      <c r="F361">
        <v>1</v>
      </c>
      <c r="G361">
        <v>1.19</v>
      </c>
      <c r="H361">
        <v>1.0105999999999999</v>
      </c>
      <c r="I361">
        <v>1.84E-2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R361">
        <v>553.6</v>
      </c>
      <c r="S361">
        <v>525.3155113129751</v>
      </c>
      <c r="T361">
        <v>497.77264677862235</v>
      </c>
      <c r="U361">
        <v>470.97140639694163</v>
      </c>
      <c r="V361">
        <v>444.91179016793336</v>
      </c>
      <c r="W361">
        <v>419.59379809159725</v>
      </c>
      <c r="X361">
        <v>395.01743016793341</v>
      </c>
      <c r="Y361">
        <v>371.18268639694168</v>
      </c>
      <c r="Z361">
        <v>348.08956677862227</v>
      </c>
      <c r="AA361">
        <v>325.73807131297502</v>
      </c>
      <c r="AB361">
        <v>304.12819999999999</v>
      </c>
      <c r="AC361">
        <v>3.2240000000000002</v>
      </c>
      <c r="AD361">
        <v>3.4501344575422119</v>
      </c>
      <c r="AE361">
        <v>3.7501155614845909</v>
      </c>
      <c r="AF361">
        <v>4.1351030719680386</v>
      </c>
      <c r="AG361">
        <v>4.6209607014446785</v>
      </c>
      <c r="AH361">
        <v>5.2280522712858026</v>
      </c>
      <c r="AI361">
        <v>5.980082838790203</v>
      </c>
      <c r="AJ361">
        <v>6.9003225835033462</v>
      </c>
      <c r="AK361">
        <v>8.0021825173008416</v>
      </c>
      <c r="AL361">
        <v>9.2696896100798991</v>
      </c>
      <c r="AM361">
        <v>10.624906299999999</v>
      </c>
    </row>
    <row r="362" spans="2:39" hidden="1">
      <c r="B362" t="s">
        <v>538</v>
      </c>
      <c r="C362" s="11" t="s">
        <v>1819</v>
      </c>
      <c r="D362" t="s">
        <v>168</v>
      </c>
      <c r="E362">
        <v>0.96699999999999997</v>
      </c>
      <c r="F362">
        <v>1.0855999999999999</v>
      </c>
      <c r="G362">
        <v>1</v>
      </c>
      <c r="H362">
        <v>0.99160000000000004</v>
      </c>
      <c r="I362">
        <v>1.5222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R362">
        <v>557</v>
      </c>
      <c r="S362">
        <v>532.4916746279647</v>
      </c>
      <c r="T362">
        <v>508.7254868279357</v>
      </c>
      <c r="U362">
        <v>485.3741346631474</v>
      </c>
      <c r="V362">
        <v>462.10159146602712</v>
      </c>
      <c r="W362">
        <v>438.56281317413504</v>
      </c>
      <c r="X362">
        <v>414.40343380592196</v>
      </c>
      <c r="Y362">
        <v>389.2594485117508</v>
      </c>
      <c r="Z362">
        <v>362.75688360470951</v>
      </c>
      <c r="AA362">
        <v>334.51145294290046</v>
      </c>
      <c r="AB362">
        <v>304.12819999999999</v>
      </c>
      <c r="AC362">
        <v>4</v>
      </c>
      <c r="AD362">
        <v>4.3117240513355961</v>
      </c>
      <c r="AE362">
        <v>4.6640913387105867</v>
      </c>
      <c r="AF362">
        <v>5.0649648065143458</v>
      </c>
      <c r="AG362">
        <v>5.5243155705816926</v>
      </c>
      <c r="AH362">
        <v>6.0549724313846545</v>
      </c>
      <c r="AI362">
        <v>6.6737143414030147</v>
      </c>
      <c r="AJ362">
        <v>7.4029037594710445</v>
      </c>
      <c r="AK362">
        <v>8.2730010474559137</v>
      </c>
      <c r="AL362">
        <v>9.3265685809013963</v>
      </c>
      <c r="AM362">
        <v>10.624906299999999</v>
      </c>
    </row>
    <row r="363" spans="2:39" hidden="1">
      <c r="B363" t="s">
        <v>539</v>
      </c>
      <c r="C363" s="11" t="s">
        <v>1820</v>
      </c>
      <c r="D363" t="s">
        <v>168</v>
      </c>
      <c r="E363">
        <v>1.011806317</v>
      </c>
      <c r="F363">
        <v>1.0461698230000001</v>
      </c>
      <c r="G363">
        <v>1.2054699760000001</v>
      </c>
      <c r="H363">
        <v>1.1645859140000001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R363">
        <v>540.20000000000005</v>
      </c>
      <c r="S363">
        <v>517.64880396073488</v>
      </c>
      <c r="T363">
        <v>494.53915194067304</v>
      </c>
      <c r="U363">
        <v>470.99447080387517</v>
      </c>
      <c r="V363">
        <v>447.13702579562965</v>
      </c>
      <c r="W363">
        <v>423.08793417593716</v>
      </c>
      <c r="X363">
        <v>398.96717866143496</v>
      </c>
      <c r="Y363">
        <v>374.89362067888851</v>
      </c>
      <c r="Z363">
        <v>350.98501343332714</v>
      </c>
      <c r="AA363">
        <v>327.35801479384099</v>
      </c>
      <c r="AB363">
        <v>304.12819999999999</v>
      </c>
      <c r="AC363">
        <v>2.33</v>
      </c>
      <c r="AD363">
        <v>2.4875326419000814</v>
      </c>
      <c r="AE363">
        <v>2.706559379169224</v>
      </c>
      <c r="AF363">
        <v>2.9986658537260489</v>
      </c>
      <c r="AG363">
        <v>3.3825612214119185</v>
      </c>
      <c r="AH363">
        <v>3.8865812096252652</v>
      </c>
      <c r="AI363">
        <v>4.5529572108655438</v>
      </c>
      <c r="AJ363">
        <v>5.444555193684014</v>
      </c>
      <c r="AK363">
        <v>6.6547796589345483</v>
      </c>
      <c r="AL363">
        <v>8.3198173658952363</v>
      </c>
      <c r="AM363">
        <v>10.624906299999999</v>
      </c>
    </row>
    <row r="364" spans="2:39" hidden="1">
      <c r="B364" t="s">
        <v>540</v>
      </c>
      <c r="C364" s="11" t="s">
        <v>1821</v>
      </c>
      <c r="D364" t="s">
        <v>541</v>
      </c>
      <c r="E364">
        <v>1.030538</v>
      </c>
      <c r="F364">
        <v>0.82847199999999999</v>
      </c>
      <c r="G364">
        <v>1.0213920000000001</v>
      </c>
      <c r="H364">
        <v>0.89515599999999995</v>
      </c>
      <c r="I364">
        <v>1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</row>
    <row r="365" spans="2:39">
      <c r="B365" t="s">
        <v>542</v>
      </c>
      <c r="C365" s="11" t="s">
        <v>1822</v>
      </c>
      <c r="D365" t="s">
        <v>176</v>
      </c>
      <c r="E365">
        <v>1.024</v>
      </c>
      <c r="F365">
        <v>1.016</v>
      </c>
      <c r="G365">
        <v>1</v>
      </c>
      <c r="H365">
        <v>1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</row>
    <row r="366" spans="2:39" hidden="1">
      <c r="B366" t="s">
        <v>543</v>
      </c>
      <c r="C366" s="11" t="s">
        <v>1823</v>
      </c>
      <c r="D366" t="s">
        <v>168</v>
      </c>
      <c r="E366">
        <v>1</v>
      </c>
      <c r="F366">
        <v>1.024</v>
      </c>
      <c r="G366">
        <v>1.0469999999999999</v>
      </c>
      <c r="H366">
        <v>1.1339999999999999</v>
      </c>
      <c r="I366">
        <v>1.2569999999999999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R366">
        <v>591.75</v>
      </c>
      <c r="S366">
        <v>560.55215379007598</v>
      </c>
      <c r="T366">
        <v>529.89556673791287</v>
      </c>
      <c r="U366">
        <v>499.78023884351046</v>
      </c>
      <c r="V366">
        <v>470.20617010686908</v>
      </c>
      <c r="W366">
        <v>441.17336052798862</v>
      </c>
      <c r="X366">
        <v>412.68181010686908</v>
      </c>
      <c r="Y366">
        <v>384.73151884351046</v>
      </c>
      <c r="Z366">
        <v>357.32248673791275</v>
      </c>
      <c r="AA366">
        <v>330.45471379007591</v>
      </c>
      <c r="AB366">
        <v>304.12819999999999</v>
      </c>
      <c r="AC366">
        <v>3.169</v>
      </c>
      <c r="AD366">
        <v>3.386387451925966</v>
      </c>
      <c r="AE366">
        <v>3.6499916205891108</v>
      </c>
      <c r="AF366">
        <v>3.9708270690420635</v>
      </c>
      <c r="AG366">
        <v>4.3641330823072861</v>
      </c>
      <c r="AH366">
        <v>4.8514036090719266</v>
      </c>
      <c r="AI366">
        <v>5.4637354517453458</v>
      </c>
      <c r="AJ366">
        <v>6.2475930355928941</v>
      </c>
      <c r="AK366">
        <v>7.2752756576844781</v>
      </c>
      <c r="AL366">
        <v>8.6652258243076048</v>
      </c>
      <c r="AM366">
        <v>10.624906299999999</v>
      </c>
    </row>
    <row r="367" spans="2:39" hidden="1">
      <c r="B367" t="s">
        <v>544</v>
      </c>
      <c r="C367" s="11" t="s">
        <v>1824</v>
      </c>
      <c r="D367" t="s">
        <v>168</v>
      </c>
      <c r="E367">
        <v>1.0296907799999999</v>
      </c>
      <c r="F367">
        <v>1.0744553859999999</v>
      </c>
      <c r="G367">
        <v>1.0261693730000001</v>
      </c>
      <c r="H367">
        <v>1.104043935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R367">
        <v>568.74</v>
      </c>
      <c r="S367">
        <v>546.04793225792616</v>
      </c>
      <c r="T367">
        <v>521.64677983187039</v>
      </c>
      <c r="U367">
        <v>495.87689835394178</v>
      </c>
      <c r="V367">
        <v>469.07063221463301</v>
      </c>
      <c r="W367">
        <v>441.55254889321799</v>
      </c>
      <c r="X367">
        <v>413.63966511093599</v>
      </c>
      <c r="Y367">
        <v>385.64166513794544</v>
      </c>
      <c r="Z367">
        <v>357.86111156981343</v>
      </c>
      <c r="AA367">
        <v>330.59364887486265</v>
      </c>
      <c r="AB367">
        <v>304.12819999999999</v>
      </c>
      <c r="AC367">
        <v>2.0310000000000001</v>
      </c>
      <c r="AD367">
        <v>2.228982561788472</v>
      </c>
      <c r="AE367">
        <v>2.467218927490022</v>
      </c>
      <c r="AF367">
        <v>2.7579821700941101</v>
      </c>
      <c r="AG367">
        <v>3.118991045369822</v>
      </c>
      <c r="AH367">
        <v>3.5767639459529512</v>
      </c>
      <c r="AI367">
        <v>4.1727892850471271</v>
      </c>
      <c r="AJ367">
        <v>4.975715626120893</v>
      </c>
      <c r="AK367">
        <v>6.1077341446920785</v>
      </c>
      <c r="AL367">
        <v>7.8090522809700111</v>
      </c>
      <c r="AM367">
        <v>10.624906299999999</v>
      </c>
    </row>
    <row r="368" spans="2:39">
      <c r="B368" t="s">
        <v>545</v>
      </c>
      <c r="C368" s="11" t="s">
        <v>1825</v>
      </c>
      <c r="D368" t="s">
        <v>176</v>
      </c>
      <c r="E368">
        <v>1.00091</v>
      </c>
      <c r="F368">
        <v>1.09145</v>
      </c>
      <c r="G368">
        <v>1</v>
      </c>
      <c r="H368">
        <v>1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</row>
    <row r="369" spans="2:39">
      <c r="B369" t="s">
        <v>546</v>
      </c>
      <c r="C369" s="11" t="s">
        <v>1826</v>
      </c>
      <c r="D369" t="s">
        <v>176</v>
      </c>
      <c r="E369">
        <v>1.0034000000000001</v>
      </c>
      <c r="F369">
        <v>1.1043000000000001</v>
      </c>
      <c r="G369">
        <v>1</v>
      </c>
      <c r="H369">
        <v>1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</row>
    <row r="370" spans="2:39">
      <c r="B370" t="s">
        <v>547</v>
      </c>
      <c r="C370" s="11" t="s">
        <v>1827</v>
      </c>
      <c r="D370" t="s">
        <v>176</v>
      </c>
      <c r="E370">
        <v>1.0011399999999999</v>
      </c>
      <c r="F370">
        <v>1.1029199999999999</v>
      </c>
      <c r="G370">
        <v>1</v>
      </c>
      <c r="H370">
        <v>1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</row>
    <row r="371" spans="2:39" hidden="1">
      <c r="B371" t="s">
        <v>548</v>
      </c>
      <c r="C371" s="11" t="s">
        <v>1828</v>
      </c>
      <c r="D371" t="s">
        <v>168</v>
      </c>
      <c r="E371">
        <v>1.0076886199999999</v>
      </c>
      <c r="F371">
        <v>1.1406712020000001</v>
      </c>
      <c r="G371">
        <v>1</v>
      </c>
      <c r="H371">
        <v>0.973386152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R371">
        <v>594.54999999999995</v>
      </c>
      <c r="S371">
        <v>572.47076078785392</v>
      </c>
      <c r="T371">
        <v>548.60387830662285</v>
      </c>
      <c r="U371">
        <v>523.0404430273195</v>
      </c>
      <c r="V371">
        <v>495.87098643053264</v>
      </c>
      <c r="W371">
        <v>467.18548528776864</v>
      </c>
      <c r="X371">
        <v>437.07336590350667</v>
      </c>
      <c r="Y371">
        <v>405.62350831838296</v>
      </c>
      <c r="Z371">
        <v>372.92425047392157</v>
      </c>
      <c r="AA371">
        <v>339.06339233922091</v>
      </c>
      <c r="AB371">
        <v>304.12819999999999</v>
      </c>
      <c r="AC371">
        <v>1.8099999999999998</v>
      </c>
      <c r="AD371">
        <v>2.0247228512942308</v>
      </c>
      <c r="AE371">
        <v>2.2823875067067978</v>
      </c>
      <c r="AF371">
        <v>2.5959529020501679</v>
      </c>
      <c r="AG371">
        <v>2.9839462795981637</v>
      </c>
      <c r="AH371">
        <v>3.4737574164467127</v>
      </c>
      <c r="AI371">
        <v>4.1075667481129052</v>
      </c>
      <c r="AJ371">
        <v>4.953734183875774</v>
      </c>
      <c r="AK371">
        <v>6.1305663007772386</v>
      </c>
      <c r="AL371">
        <v>7.8615988744515484</v>
      </c>
      <c r="AM371">
        <v>10.624906299999999</v>
      </c>
    </row>
    <row r="372" spans="2:39" hidden="1">
      <c r="B372" t="s">
        <v>549</v>
      </c>
      <c r="C372" s="11" t="s">
        <v>1829</v>
      </c>
      <c r="D372" t="s">
        <v>168</v>
      </c>
      <c r="E372">
        <v>1.02002879</v>
      </c>
      <c r="F372">
        <v>1.1455122129999999</v>
      </c>
      <c r="G372">
        <v>1.0001511320000001</v>
      </c>
      <c r="H372">
        <v>1.183394668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R372">
        <v>617.70000000000005</v>
      </c>
      <c r="S372">
        <v>594.17042136897362</v>
      </c>
      <c r="T372">
        <v>568.25358025331423</v>
      </c>
      <c r="U372">
        <v>540.19919732562516</v>
      </c>
      <c r="V372">
        <v>510.25301626736859</v>
      </c>
      <c r="W372">
        <v>478.65688262565197</v>
      </c>
      <c r="X372">
        <v>445.64882080111647</v>
      </c>
      <c r="Y372">
        <v>411.46310921839722</v>
      </c>
      <c r="Z372">
        <v>376.33035372901298</v>
      </c>
      <c r="AA372">
        <v>340.47755929498771</v>
      </c>
      <c r="AB372">
        <v>304.12819999999999</v>
      </c>
      <c r="AC372">
        <v>1.6400000000000001</v>
      </c>
      <c r="AD372">
        <v>1.805917869901372</v>
      </c>
      <c r="AE372">
        <v>2.0052082313650685</v>
      </c>
      <c r="AF372">
        <v>2.248928785024805</v>
      </c>
      <c r="AG372">
        <v>2.5536217002209494</v>
      </c>
      <c r="AH372">
        <v>2.9451946886357963</v>
      </c>
      <c r="AI372">
        <v>3.4666410952542472</v>
      </c>
      <c r="AJ372">
        <v>4.1949038881541396</v>
      </c>
      <c r="AK372">
        <v>5.2826266530722892</v>
      </c>
      <c r="AL372">
        <v>7.0816161544317353</v>
      </c>
      <c r="AM372">
        <v>10.624906299999999</v>
      </c>
    </row>
    <row r="373" spans="2:39">
      <c r="B373" t="s">
        <v>550</v>
      </c>
      <c r="C373" s="11" t="s">
        <v>1830</v>
      </c>
      <c r="D373" t="s">
        <v>176</v>
      </c>
      <c r="E373">
        <v>1.0061476</v>
      </c>
      <c r="F373">
        <v>1.19119</v>
      </c>
      <c r="G373">
        <v>1</v>
      </c>
      <c r="H373">
        <v>1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</row>
    <row r="374" spans="2:39" hidden="1">
      <c r="B374" t="s">
        <v>551</v>
      </c>
      <c r="C374" s="11" t="s">
        <v>1831</v>
      </c>
      <c r="D374" t="s">
        <v>168</v>
      </c>
      <c r="E374">
        <v>1</v>
      </c>
      <c r="F374">
        <v>1.258</v>
      </c>
      <c r="G374">
        <v>1</v>
      </c>
      <c r="H374">
        <v>1</v>
      </c>
      <c r="I374">
        <v>-1.5389999999999999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R374">
        <v>658.1</v>
      </c>
      <c r="S374">
        <v>637.40647876172193</v>
      </c>
      <c r="T374">
        <v>613.44547779861671</v>
      </c>
      <c r="U374">
        <v>586.21699711068425</v>
      </c>
      <c r="V374">
        <v>555.72103669792489</v>
      </c>
      <c r="W374">
        <v>521.95759656033852</v>
      </c>
      <c r="X374">
        <v>484.9266766979249</v>
      </c>
      <c r="Y374">
        <v>444.62827711068434</v>
      </c>
      <c r="Z374">
        <v>401.06239779861664</v>
      </c>
      <c r="AA374">
        <v>354.22903876172182</v>
      </c>
      <c r="AB374">
        <v>304.12819999999999</v>
      </c>
      <c r="AC374">
        <v>1.33</v>
      </c>
      <c r="AD374">
        <v>1.4990556683499447</v>
      </c>
      <c r="AE374">
        <v>1.7049729878043574</v>
      </c>
      <c r="AF374">
        <v>1.9600984116529117</v>
      </c>
      <c r="AG374">
        <v>2.2827747900877071</v>
      </c>
      <c r="AH374">
        <v>2.7014305008842383</v>
      </c>
      <c r="AI374">
        <v>3.2625243966694355</v>
      </c>
      <c r="AJ374">
        <v>4.0473708053129602</v>
      </c>
      <c r="AK374">
        <v>5.2120571632338546</v>
      </c>
      <c r="AL374">
        <v>7.0983577271575973</v>
      </c>
      <c r="AM374">
        <v>10.624906299999999</v>
      </c>
    </row>
    <row r="375" spans="2:39">
      <c r="B375" t="s">
        <v>552</v>
      </c>
      <c r="C375" s="11" t="s">
        <v>1832</v>
      </c>
      <c r="D375" t="s">
        <v>176</v>
      </c>
      <c r="E375">
        <v>0.90151000000000003</v>
      </c>
      <c r="F375">
        <v>1.45262</v>
      </c>
      <c r="G375">
        <v>1</v>
      </c>
      <c r="H375">
        <v>1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</row>
    <row r="376" spans="2:39">
      <c r="B376" t="s">
        <v>553</v>
      </c>
      <c r="C376" s="11" t="s">
        <v>1833</v>
      </c>
      <c r="D376" t="s">
        <v>176</v>
      </c>
      <c r="E376">
        <v>1.0048433449230001</v>
      </c>
      <c r="F376">
        <v>0.99809999999999999</v>
      </c>
      <c r="G376">
        <v>1</v>
      </c>
      <c r="H376">
        <v>1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</row>
    <row r="377" spans="2:39">
      <c r="B377" t="s">
        <v>554</v>
      </c>
      <c r="C377" s="11" t="s">
        <v>1834</v>
      </c>
      <c r="D377" t="s">
        <v>176</v>
      </c>
      <c r="E377">
        <v>0.97539003165000004</v>
      </c>
      <c r="F377">
        <v>1.09707</v>
      </c>
      <c r="G377">
        <v>1</v>
      </c>
      <c r="H377">
        <v>1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</row>
    <row r="378" spans="2:39">
      <c r="B378" t="s">
        <v>555</v>
      </c>
      <c r="C378" s="11" t="s">
        <v>1835</v>
      </c>
      <c r="D378" t="s">
        <v>176</v>
      </c>
      <c r="E378">
        <v>0.98618356820899999</v>
      </c>
      <c r="F378">
        <v>0.87936999999999999</v>
      </c>
      <c r="G378">
        <v>1</v>
      </c>
      <c r="H378">
        <v>1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</row>
    <row r="379" spans="2:39">
      <c r="B379" t="s">
        <v>556</v>
      </c>
      <c r="C379" s="11" t="s">
        <v>1836</v>
      </c>
      <c r="D379" t="s">
        <v>176</v>
      </c>
      <c r="E379">
        <v>1.01003</v>
      </c>
      <c r="F379">
        <v>0.93498999999999999</v>
      </c>
      <c r="G379">
        <v>1</v>
      </c>
      <c r="H379">
        <v>1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</row>
    <row r="380" spans="2:39">
      <c r="B380" t="s">
        <v>557</v>
      </c>
      <c r="C380" s="11" t="s">
        <v>1837</v>
      </c>
      <c r="D380" t="s">
        <v>176</v>
      </c>
      <c r="E380">
        <v>0.98366138440499995</v>
      </c>
      <c r="F380">
        <v>0.89173000000000002</v>
      </c>
      <c r="G380">
        <v>1</v>
      </c>
      <c r="H380">
        <v>1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</row>
    <row r="381" spans="2:39">
      <c r="B381" t="s">
        <v>558</v>
      </c>
      <c r="C381" s="11" t="s">
        <v>1838</v>
      </c>
      <c r="D381" t="s">
        <v>176</v>
      </c>
      <c r="E381">
        <v>0.99670996009299995</v>
      </c>
      <c r="F381">
        <v>0.91302000000000005</v>
      </c>
      <c r="G381">
        <v>1</v>
      </c>
      <c r="H381">
        <v>1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</row>
    <row r="382" spans="2:39">
      <c r="B382" t="s">
        <v>559</v>
      </c>
      <c r="C382" s="11" t="s">
        <v>1839</v>
      </c>
      <c r="D382" t="s">
        <v>176</v>
      </c>
      <c r="E382">
        <v>1</v>
      </c>
      <c r="F382">
        <v>0.94285200000000002</v>
      </c>
      <c r="G382">
        <v>1</v>
      </c>
      <c r="H382">
        <v>1.0010759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</row>
    <row r="383" spans="2:39">
      <c r="B383" t="s">
        <v>560</v>
      </c>
      <c r="C383" s="11" t="s">
        <v>1840</v>
      </c>
      <c r="D383" t="s">
        <v>176</v>
      </c>
      <c r="E383">
        <v>1.0017029</v>
      </c>
      <c r="F383">
        <v>0.86502000000000001</v>
      </c>
      <c r="G383">
        <v>1</v>
      </c>
      <c r="H383">
        <v>1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</row>
    <row r="384" spans="2:39">
      <c r="B384" t="s">
        <v>561</v>
      </c>
      <c r="C384" s="11" t="s">
        <v>1841</v>
      </c>
      <c r="D384" t="s">
        <v>176</v>
      </c>
      <c r="E384">
        <v>0.99088485026200002</v>
      </c>
      <c r="F384">
        <v>0.89338143999999997</v>
      </c>
      <c r="G384">
        <v>1.007559212995</v>
      </c>
      <c r="H384">
        <v>1.0150842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</row>
    <row r="385" spans="2:39">
      <c r="B385" t="s">
        <v>562</v>
      </c>
      <c r="C385" s="11" t="s">
        <v>1842</v>
      </c>
      <c r="D385" t="s">
        <v>176</v>
      </c>
      <c r="E385">
        <v>1.041666666667</v>
      </c>
      <c r="F385">
        <v>0.92930000000000001</v>
      </c>
      <c r="G385">
        <v>1</v>
      </c>
      <c r="H385">
        <v>1.0605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</row>
    <row r="386" spans="2:39">
      <c r="B386" t="s">
        <v>563</v>
      </c>
      <c r="C386" s="11" t="s">
        <v>1843</v>
      </c>
      <c r="D386" t="s">
        <v>176</v>
      </c>
      <c r="E386">
        <v>0.92963589999999996</v>
      </c>
      <c r="F386">
        <v>1.0696099999999999</v>
      </c>
      <c r="G386">
        <v>1</v>
      </c>
      <c r="H386">
        <v>1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</row>
    <row r="387" spans="2:39">
      <c r="B387" t="s">
        <v>564</v>
      </c>
      <c r="C387" s="11" t="s">
        <v>1844</v>
      </c>
      <c r="D387" t="s">
        <v>176</v>
      </c>
      <c r="E387">
        <v>1</v>
      </c>
      <c r="F387">
        <v>0.94420000000000004</v>
      </c>
      <c r="G387">
        <v>1</v>
      </c>
      <c r="H387">
        <v>1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</row>
    <row r="388" spans="2:39" hidden="1">
      <c r="B388" t="s">
        <v>565</v>
      </c>
      <c r="C388" s="11" t="s">
        <v>1845</v>
      </c>
      <c r="D388" t="s">
        <v>168</v>
      </c>
      <c r="E388">
        <v>1.007482008719</v>
      </c>
      <c r="F388">
        <v>0.905829247</v>
      </c>
      <c r="G388">
        <v>1.067450922575</v>
      </c>
      <c r="H388">
        <v>1.0105939989999999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R388">
        <v>369.89</v>
      </c>
      <c r="S388">
        <v>364.2749955935833</v>
      </c>
      <c r="T388">
        <v>359.81688569593507</v>
      </c>
      <c r="U388">
        <v>356.57713861438117</v>
      </c>
      <c r="V388">
        <v>354.61685556022144</v>
      </c>
      <c r="W388">
        <v>353.99677338507041</v>
      </c>
      <c r="X388">
        <v>354.77726729275889</v>
      </c>
      <c r="Y388">
        <v>357.0183535270495</v>
      </c>
      <c r="Z388">
        <v>360.77969203541846</v>
      </c>
      <c r="AA388">
        <v>366.12058910915164</v>
      </c>
      <c r="AB388">
        <v>373.1</v>
      </c>
      <c r="AC388">
        <v>5</v>
      </c>
      <c r="AD388">
        <v>5.252595676027231</v>
      </c>
      <c r="AE388">
        <v>5.5562680387310097</v>
      </c>
      <c r="AF388">
        <v>5.9152132243804534</v>
      </c>
      <c r="AG388">
        <v>6.3341301734147297</v>
      </c>
      <c r="AH388">
        <v>6.8176532328856876</v>
      </c>
      <c r="AI388">
        <v>7.3694183080275915</v>
      </c>
      <c r="AJ388">
        <v>7.9905644660979407</v>
      </c>
      <c r="AK388">
        <v>8.6774537177375421</v>
      </c>
      <c r="AL388">
        <v>9.4184642712902615</v>
      </c>
      <c r="AM388">
        <v>10.19</v>
      </c>
    </row>
    <row r="389" spans="2:39" hidden="1">
      <c r="B389" t="s">
        <v>566</v>
      </c>
      <c r="C389" s="11" t="s">
        <v>1846</v>
      </c>
      <c r="D389" t="s">
        <v>168</v>
      </c>
      <c r="E389">
        <v>1.026114040008</v>
      </c>
      <c r="F389">
        <v>0.93713084400000002</v>
      </c>
      <c r="G389">
        <v>0.98717225820599996</v>
      </c>
      <c r="H389">
        <v>0.98859111700000002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R389">
        <v>407.81</v>
      </c>
      <c r="S389">
        <v>401.21825120626858</v>
      </c>
      <c r="T389">
        <v>394.6948841571346</v>
      </c>
      <c r="U389">
        <v>388.48286462809483</v>
      </c>
      <c r="V389">
        <v>382.82012283731103</v>
      </c>
      <c r="W389">
        <v>377.93968322794279</v>
      </c>
      <c r="X389">
        <v>374.06979025718238</v>
      </c>
      <c r="Y389">
        <v>371.43403033460595</v>
      </c>
      <c r="Z389">
        <v>370.25145004666831</v>
      </c>
      <c r="AA389">
        <v>370.7366707986389</v>
      </c>
      <c r="AB389">
        <v>373.1</v>
      </c>
      <c r="AC389">
        <v>3.8797567879999999</v>
      </c>
      <c r="AD389">
        <v>4.1863539052237728</v>
      </c>
      <c r="AE389">
        <v>4.5294966816359858</v>
      </c>
      <c r="AF389">
        <v>4.916167513726716</v>
      </c>
      <c r="AG389">
        <v>5.3553772680654719</v>
      </c>
      <c r="AH389">
        <v>5.8589717346413961</v>
      </c>
      <c r="AI389">
        <v>6.4428533897911766</v>
      </c>
      <c r="AJ389">
        <v>7.1288905935528391</v>
      </c>
      <c r="AK389">
        <v>7.9480112159956802</v>
      </c>
      <c r="AL389">
        <v>8.9454357566718503</v>
      </c>
      <c r="AM389">
        <v>10.19</v>
      </c>
    </row>
    <row r="390" spans="2:39" hidden="1">
      <c r="B390" t="s">
        <v>567</v>
      </c>
      <c r="C390" s="11" t="s">
        <v>1847</v>
      </c>
      <c r="D390" t="s">
        <v>168</v>
      </c>
      <c r="E390">
        <v>1.0142369598280001</v>
      </c>
      <c r="F390">
        <v>0.92615660200000005</v>
      </c>
      <c r="G390">
        <v>1.1011843465590001</v>
      </c>
      <c r="H390">
        <v>1.0333660410000001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R390">
        <v>425.125</v>
      </c>
      <c r="S390">
        <v>415.22879707473101</v>
      </c>
      <c r="T390">
        <v>406.03527394609654</v>
      </c>
      <c r="U390">
        <v>397.67460788410642</v>
      </c>
      <c r="V390">
        <v>390.27549987553368</v>
      </c>
      <c r="W390">
        <v>383.96519549209989</v>
      </c>
      <c r="X390">
        <v>378.86950540567682</v>
      </c>
      <c r="Y390">
        <v>375.11282555745038</v>
      </c>
      <c r="Z390">
        <v>372.81815698783691</v>
      </c>
      <c r="AA390">
        <v>372.107125333792</v>
      </c>
      <c r="AB390">
        <v>373.1</v>
      </c>
      <c r="AC390">
        <v>3.9227696129999998</v>
      </c>
      <c r="AD390">
        <v>4.159509279853955</v>
      </c>
      <c r="AE390">
        <v>4.4553418916147578</v>
      </c>
      <c r="AF390">
        <v>4.8182884958316681</v>
      </c>
      <c r="AG390">
        <v>5.2586671446635496</v>
      </c>
      <c r="AH390">
        <v>5.7889436515931436</v>
      </c>
      <c r="AI390">
        <v>6.423156501985777</v>
      </c>
      <c r="AJ390">
        <v>7.1754046081813474</v>
      </c>
      <c r="AK390">
        <v>8.0565403847315498</v>
      </c>
      <c r="AL390">
        <v>9.067801333685729</v>
      </c>
      <c r="AM390">
        <v>10.19</v>
      </c>
    </row>
    <row r="391" spans="2:39">
      <c r="B391" t="s">
        <v>568</v>
      </c>
      <c r="C391" s="11" t="s">
        <v>1848</v>
      </c>
      <c r="D391" t="s">
        <v>176</v>
      </c>
      <c r="E391">
        <v>1.025479998987</v>
      </c>
      <c r="F391">
        <v>0.93089</v>
      </c>
      <c r="G391">
        <v>1</v>
      </c>
      <c r="H391">
        <v>1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</row>
    <row r="392" spans="2:39" hidden="1">
      <c r="B392" t="s">
        <v>569</v>
      </c>
      <c r="C392" s="11" t="s">
        <v>1849</v>
      </c>
      <c r="D392" t="s">
        <v>168</v>
      </c>
      <c r="E392">
        <v>1</v>
      </c>
      <c r="F392">
        <v>0.98265152899999997</v>
      </c>
      <c r="G392">
        <v>1</v>
      </c>
      <c r="H392">
        <v>0.83576334299999999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R392">
        <v>460.35</v>
      </c>
      <c r="S392">
        <v>449.91867960123858</v>
      </c>
      <c r="T392">
        <v>439.86654151331311</v>
      </c>
      <c r="U392">
        <v>430.19358573622327</v>
      </c>
      <c r="V392">
        <v>420.89981226996952</v>
      </c>
      <c r="W392">
        <v>411.98522111455156</v>
      </c>
      <c r="X392">
        <v>403.44981226996953</v>
      </c>
      <c r="Y392">
        <v>395.29358573622329</v>
      </c>
      <c r="Z392">
        <v>387.51654151331303</v>
      </c>
      <c r="AA392">
        <v>380.11867960123857</v>
      </c>
      <c r="AB392">
        <v>373.1</v>
      </c>
      <c r="AC392">
        <v>3.2709999999999999</v>
      </c>
      <c r="AD392">
        <v>3.6218654827873724</v>
      </c>
      <c r="AE392">
        <v>4.0249036894263872</v>
      </c>
      <c r="AF392">
        <v>4.4888557728625011</v>
      </c>
      <c r="AG392">
        <v>5.0235321342014601</v>
      </c>
      <c r="AH392">
        <v>5.6394976046114005</v>
      </c>
      <c r="AI392">
        <v>6.3473191554382717</v>
      </c>
      <c r="AJ392">
        <v>7.1560790722163103</v>
      </c>
      <c r="AK392">
        <v>8.0707473691737857</v>
      </c>
      <c r="AL392">
        <v>9.0879655494604119</v>
      </c>
      <c r="AM392">
        <v>10.19</v>
      </c>
    </row>
    <row r="393" spans="2:39" hidden="1">
      <c r="B393" t="s">
        <v>570</v>
      </c>
      <c r="C393" s="11" t="s">
        <v>1850</v>
      </c>
      <c r="D393" t="s">
        <v>168</v>
      </c>
      <c r="E393">
        <v>1.0394938527299999</v>
      </c>
      <c r="F393">
        <v>0.95906566199999999</v>
      </c>
      <c r="G393">
        <v>1.0156272503279999</v>
      </c>
      <c r="H393">
        <v>1.076539234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R393">
        <v>469.65899999999999</v>
      </c>
      <c r="S393">
        <v>458.67303230066528</v>
      </c>
      <c r="T393">
        <v>446.93248488016241</v>
      </c>
      <c r="U393">
        <v>434.85284429827834</v>
      </c>
      <c r="V393">
        <v>422.83662839729232</v>
      </c>
      <c r="W393">
        <v>411.27388838010472</v>
      </c>
      <c r="X393">
        <v>400.54268774230758</v>
      </c>
      <c r="Y393">
        <v>391.00955929358895</v>
      </c>
      <c r="Z393">
        <v>383.02994142907738</v>
      </c>
      <c r="AA393">
        <v>376.948594741504</v>
      </c>
      <c r="AB393">
        <v>373.1</v>
      </c>
      <c r="AC393">
        <v>3.2599099999999996</v>
      </c>
      <c r="AD393">
        <v>3.5041578975370284</v>
      </c>
      <c r="AE393">
        <v>3.7891826040457652</v>
      </c>
      <c r="AF393">
        <v>4.1248134323969756</v>
      </c>
      <c r="AG393">
        <v>4.5242921363293185</v>
      </c>
      <c r="AH393">
        <v>5.0058719538445722</v>
      </c>
      <c r="AI393">
        <v>5.5954064984130962</v>
      </c>
      <c r="AJ393">
        <v>6.330724399080105</v>
      </c>
      <c r="AK393">
        <v>7.2694115772102172</v>
      </c>
      <c r="AL393">
        <v>8.5035569878706827</v>
      </c>
      <c r="AM393">
        <v>10.19</v>
      </c>
    </row>
    <row r="394" spans="2:39">
      <c r="B394" t="s">
        <v>571</v>
      </c>
      <c r="C394" s="11" t="s">
        <v>1851</v>
      </c>
      <c r="D394" t="s">
        <v>176</v>
      </c>
      <c r="E394">
        <v>1.0421225953019999</v>
      </c>
      <c r="F394">
        <v>1.04871</v>
      </c>
      <c r="G394">
        <v>1</v>
      </c>
      <c r="H394">
        <v>1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</row>
    <row r="395" spans="2:39">
      <c r="B395" t="s">
        <v>572</v>
      </c>
      <c r="C395" s="11" t="s">
        <v>1852</v>
      </c>
      <c r="D395" t="s">
        <v>176</v>
      </c>
      <c r="E395">
        <v>1</v>
      </c>
      <c r="F395">
        <v>1.042</v>
      </c>
      <c r="G395">
        <v>1</v>
      </c>
      <c r="H395">
        <v>1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</row>
    <row r="396" spans="2:39" hidden="1">
      <c r="B396" t="s">
        <v>573</v>
      </c>
      <c r="C396" s="11" t="s">
        <v>1853</v>
      </c>
      <c r="D396" t="s">
        <v>168</v>
      </c>
      <c r="E396">
        <v>1.0143107964089999</v>
      </c>
      <c r="F396">
        <v>0.95607559600000003</v>
      </c>
      <c r="G396">
        <v>1.325426794917</v>
      </c>
      <c r="H396">
        <v>1.3392835519999999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R396">
        <v>507.82</v>
      </c>
      <c r="S396">
        <v>490.82750826405982</v>
      </c>
      <c r="T396">
        <v>474.23131512765076</v>
      </c>
      <c r="U396">
        <v>458.17907896564793</v>
      </c>
      <c r="V396">
        <v>442.81677497761382</v>
      </c>
      <c r="W396">
        <v>428.28871910303758</v>
      </c>
      <c r="X396">
        <v>414.73759152997491</v>
      </c>
      <c r="Y396">
        <v>402.30445980512718</v>
      </c>
      <c r="Z396">
        <v>391.12880155322301</v>
      </c>
      <c r="AA396">
        <v>381.34852681338589</v>
      </c>
      <c r="AB396">
        <v>373.1</v>
      </c>
      <c r="AC396">
        <v>2.706</v>
      </c>
      <c r="AD396">
        <v>2.768952313433001</v>
      </c>
      <c r="AE396">
        <v>2.9284870507267606</v>
      </c>
      <c r="AF396">
        <v>3.181239137480127</v>
      </c>
      <c r="AG396">
        <v>3.5374946150360929</v>
      </c>
      <c r="AH396">
        <v>4.0194785111807159</v>
      </c>
      <c r="AI396">
        <v>4.6628565784665081</v>
      </c>
      <c r="AJ396">
        <v>5.5201369471259918</v>
      </c>
      <c r="AK396">
        <v>6.6644857472338961</v>
      </c>
      <c r="AL396">
        <v>8.1893790987688941</v>
      </c>
      <c r="AM396">
        <v>10.19</v>
      </c>
    </row>
    <row r="397" spans="2:39">
      <c r="B397" t="s">
        <v>574</v>
      </c>
      <c r="C397" s="11" t="s">
        <v>1854</v>
      </c>
      <c r="D397" t="s">
        <v>176</v>
      </c>
      <c r="E397">
        <v>0.99399999999999999</v>
      </c>
      <c r="F397">
        <v>1.06</v>
      </c>
      <c r="G397">
        <v>1</v>
      </c>
      <c r="H397">
        <v>1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</row>
    <row r="398" spans="2:39">
      <c r="B398" t="s">
        <v>575</v>
      </c>
      <c r="C398" s="11" t="s">
        <v>1855</v>
      </c>
      <c r="D398" t="s">
        <v>176</v>
      </c>
      <c r="E398">
        <v>1.0109999999999999</v>
      </c>
      <c r="F398">
        <v>1.0138</v>
      </c>
      <c r="G398">
        <v>1</v>
      </c>
      <c r="H398">
        <v>1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</row>
    <row r="399" spans="2:39" hidden="1">
      <c r="B399" t="s">
        <v>576</v>
      </c>
      <c r="C399" s="11" t="s">
        <v>1856</v>
      </c>
      <c r="D399" t="s">
        <v>168</v>
      </c>
      <c r="E399">
        <v>1.011186332734</v>
      </c>
      <c r="F399">
        <v>1.013453092</v>
      </c>
      <c r="G399">
        <v>1.2063203989589999</v>
      </c>
      <c r="H399">
        <v>1.0879567489999999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R399">
        <v>540.20000000000005</v>
      </c>
      <c r="S399">
        <v>523.91986839021956</v>
      </c>
      <c r="T399">
        <v>507.21521565334501</v>
      </c>
      <c r="U399">
        <v>490.21134475617424</v>
      </c>
      <c r="V399">
        <v>473.03244110614617</v>
      </c>
      <c r="W399">
        <v>455.80158498281276</v>
      </c>
      <c r="X399">
        <v>438.64076380373899</v>
      </c>
      <c r="Y399">
        <v>421.6708842273955</v>
      </c>
      <c r="Z399">
        <v>405.01178409556735</v>
      </c>
      <c r="AA399">
        <v>388.78224421775462</v>
      </c>
      <c r="AB399">
        <v>373.1</v>
      </c>
      <c r="AC399">
        <v>2.33</v>
      </c>
      <c r="AD399">
        <v>2.5040701853757144</v>
      </c>
      <c r="AE399">
        <v>2.7395333659631751</v>
      </c>
      <c r="AF399">
        <v>3.0486067925648848</v>
      </c>
      <c r="AG399">
        <v>3.4499744563869839</v>
      </c>
      <c r="AH399">
        <v>3.9707292845220623</v>
      </c>
      <c r="AI399">
        <v>4.649190003356078</v>
      </c>
      <c r="AJ399">
        <v>5.5382133625792775</v>
      </c>
      <c r="AK399">
        <v>6.7072106787132615</v>
      </c>
      <c r="AL399">
        <v>8.2368507115297138</v>
      </c>
      <c r="AM399">
        <v>10.19</v>
      </c>
    </row>
    <row r="400" spans="2:39">
      <c r="B400" t="s">
        <v>577</v>
      </c>
      <c r="C400" s="11" t="s">
        <v>1857</v>
      </c>
      <c r="D400" t="s">
        <v>176</v>
      </c>
      <c r="E400">
        <v>1.022960031008</v>
      </c>
      <c r="F400">
        <v>1.0101500000000001</v>
      </c>
      <c r="G400">
        <v>1</v>
      </c>
      <c r="H400">
        <v>1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</row>
    <row r="401" spans="2:39" hidden="1">
      <c r="B401" t="s">
        <v>578</v>
      </c>
      <c r="C401" s="11" t="s">
        <v>1858</v>
      </c>
      <c r="D401" t="s">
        <v>168</v>
      </c>
      <c r="E401">
        <v>1</v>
      </c>
      <c r="F401">
        <v>0.94058708300000005</v>
      </c>
      <c r="G401">
        <v>1</v>
      </c>
      <c r="H401">
        <v>1.014832832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R401">
        <v>647.096</v>
      </c>
      <c r="S401">
        <v>611.06825684728835</v>
      </c>
      <c r="T401">
        <v>576.95787883962385</v>
      </c>
      <c r="U401">
        <v>544.76486597700602</v>
      </c>
      <c r="V401">
        <v>514.48921825943546</v>
      </c>
      <c r="W401">
        <v>486.13093568691204</v>
      </c>
      <c r="X401">
        <v>459.69001825943553</v>
      </c>
      <c r="Y401">
        <v>435.16646597700606</v>
      </c>
      <c r="Z401">
        <v>412.56027883962366</v>
      </c>
      <c r="AA401">
        <v>391.8714568472883</v>
      </c>
      <c r="AB401">
        <v>373.1</v>
      </c>
      <c r="AC401">
        <v>17.873727995599999</v>
      </c>
      <c r="AD401">
        <v>16.662862480471208</v>
      </c>
      <c r="AE401">
        <v>15.597369146675121</v>
      </c>
      <c r="AF401">
        <v>14.652643249730559</v>
      </c>
      <c r="AG401">
        <v>13.809334648878918</v>
      </c>
      <c r="AH401">
        <v>13.052016210913045</v>
      </c>
      <c r="AI401">
        <v>12.368237615925219</v>
      </c>
      <c r="AJ401">
        <v>11.747840416325756</v>
      </c>
      <c r="AK401">
        <v>11.182453894583682</v>
      </c>
      <c r="AL401">
        <v>10.66511838787814</v>
      </c>
      <c r="AM401">
        <v>10.19</v>
      </c>
    </row>
    <row r="402" spans="2:39">
      <c r="B402" t="s">
        <v>579</v>
      </c>
      <c r="C402" s="11" t="s">
        <v>1859</v>
      </c>
      <c r="D402" t="s">
        <v>176</v>
      </c>
      <c r="E402">
        <v>1.012</v>
      </c>
      <c r="F402">
        <v>1.0169999999999999</v>
      </c>
      <c r="G402">
        <v>1</v>
      </c>
      <c r="H402">
        <v>1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</row>
    <row r="403" spans="2:39">
      <c r="B403" t="s">
        <v>580</v>
      </c>
      <c r="C403" s="11" t="s">
        <v>1860</v>
      </c>
      <c r="D403" t="s">
        <v>176</v>
      </c>
      <c r="E403">
        <v>1</v>
      </c>
      <c r="F403">
        <v>1.075</v>
      </c>
      <c r="G403">
        <v>1</v>
      </c>
      <c r="H403">
        <v>1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</row>
    <row r="404" spans="2:39">
      <c r="B404" t="s">
        <v>581</v>
      </c>
      <c r="C404" s="11" t="s">
        <v>1861</v>
      </c>
      <c r="D404" t="s">
        <v>176</v>
      </c>
      <c r="E404">
        <v>1</v>
      </c>
      <c r="F404">
        <v>1.0865578259999999</v>
      </c>
      <c r="G404">
        <v>1</v>
      </c>
      <c r="H404">
        <v>1.0829051089999999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</row>
    <row r="405" spans="2:39">
      <c r="B405" t="s">
        <v>582</v>
      </c>
      <c r="C405" s="11" t="s">
        <v>1862</v>
      </c>
      <c r="D405" t="s">
        <v>176</v>
      </c>
      <c r="E405">
        <v>0.97237000895799997</v>
      </c>
      <c r="F405">
        <v>1.10582</v>
      </c>
      <c r="G405">
        <v>1</v>
      </c>
      <c r="H405">
        <v>1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</row>
    <row r="406" spans="2:39" hidden="1">
      <c r="B406" t="s">
        <v>583</v>
      </c>
      <c r="C406" s="11" t="s">
        <v>1863</v>
      </c>
      <c r="D406" t="s">
        <v>168</v>
      </c>
      <c r="E406">
        <v>1</v>
      </c>
      <c r="F406">
        <v>1.0865578259999999</v>
      </c>
      <c r="G406">
        <v>1</v>
      </c>
      <c r="H406">
        <v>1.0829051089999999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R406">
        <v>594.54999999999995</v>
      </c>
      <c r="S406">
        <v>577.43188371369808</v>
      </c>
      <c r="T406">
        <v>559.1966821576857</v>
      </c>
      <c r="U406">
        <v>539.84439533196223</v>
      </c>
      <c r="V406">
        <v>519.37502323652836</v>
      </c>
      <c r="W406">
        <v>497.78856587138375</v>
      </c>
      <c r="X406">
        <v>475.0850232365284</v>
      </c>
      <c r="Y406">
        <v>451.26439533196236</v>
      </c>
      <c r="Z406">
        <v>426.32668215768558</v>
      </c>
      <c r="AA406">
        <v>400.27188371369812</v>
      </c>
      <c r="AB406">
        <v>373.1</v>
      </c>
      <c r="AC406">
        <v>1.8099999999999998</v>
      </c>
      <c r="AD406">
        <v>2.0007599025419571</v>
      </c>
      <c r="AE406">
        <v>2.2284464231920484</v>
      </c>
      <c r="AF406">
        <v>2.5044751379765713</v>
      </c>
      <c r="AG406">
        <v>2.8454641818094921</v>
      </c>
      <c r="AH406">
        <v>3.2765735106803229</v>
      </c>
      <c r="AI406">
        <v>3.8377939895146533</v>
      </c>
      <c r="AJ406">
        <v>4.5967510914291143</v>
      </c>
      <c r="AK406">
        <v>5.6775386366190874</v>
      </c>
      <c r="AL406">
        <v>7.3351702296954429</v>
      </c>
      <c r="AM406">
        <v>10.19</v>
      </c>
    </row>
    <row r="407" spans="2:39">
      <c r="B407" t="s">
        <v>584</v>
      </c>
      <c r="C407" s="11" t="s">
        <v>1864</v>
      </c>
      <c r="D407" t="s">
        <v>176</v>
      </c>
      <c r="E407">
        <v>0.99576798605899997</v>
      </c>
      <c r="F407">
        <v>1.10114</v>
      </c>
      <c r="G407">
        <v>1</v>
      </c>
      <c r="H407">
        <v>1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</row>
    <row r="408" spans="2:39" hidden="1">
      <c r="B408" t="s">
        <v>585</v>
      </c>
      <c r="C408" s="11" t="s">
        <v>1865</v>
      </c>
      <c r="D408" t="s">
        <v>168</v>
      </c>
      <c r="E408">
        <v>1.027652681588</v>
      </c>
      <c r="F408">
        <v>1.1036934890000001</v>
      </c>
      <c r="G408">
        <v>1.0254435451970001</v>
      </c>
      <c r="H408">
        <v>1.171714677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R408">
        <v>617.70000000000005</v>
      </c>
      <c r="S408">
        <v>601.53115847545951</v>
      </c>
      <c r="T408">
        <v>582.55909767788</v>
      </c>
      <c r="U408">
        <v>561.15800157289982</v>
      </c>
      <c r="V408">
        <v>537.69384601472575</v>
      </c>
      <c r="W408">
        <v>512.5246225853399</v>
      </c>
      <c r="X408">
        <v>486.00055514839715</v>
      </c>
      <c r="Y408">
        <v>458.46430939295328</v>
      </c>
      <c r="Z408">
        <v>430.25119563035548</v>
      </c>
      <c r="AA408">
        <v>401.6893650963807</v>
      </c>
      <c r="AB408">
        <v>373.1</v>
      </c>
      <c r="AC408">
        <v>1.6400000000000001</v>
      </c>
      <c r="AD408">
        <v>1.8010161634730086</v>
      </c>
      <c r="AE408">
        <v>1.9963042944220915</v>
      </c>
      <c r="AF408">
        <v>2.237040139524396</v>
      </c>
      <c r="AG408">
        <v>2.5398038944766821</v>
      </c>
      <c r="AH408">
        <v>2.9302696654137028</v>
      </c>
      <c r="AI408">
        <v>3.4503908969942767</v>
      </c>
      <c r="AJ408">
        <v>4.1736690611050138</v>
      </c>
      <c r="AK408">
        <v>5.2415582774337448</v>
      </c>
      <c r="AL408">
        <v>6.9653676968987215</v>
      </c>
      <c r="AM408">
        <v>10.19</v>
      </c>
    </row>
    <row r="409" spans="2:39">
      <c r="B409" t="s">
        <v>586</v>
      </c>
      <c r="C409" s="11" t="s">
        <v>1866</v>
      </c>
      <c r="D409" t="s">
        <v>176</v>
      </c>
      <c r="E409">
        <v>0.98770000000000002</v>
      </c>
      <c r="F409">
        <v>1.1980999999999999</v>
      </c>
      <c r="G409">
        <v>1</v>
      </c>
      <c r="H409">
        <v>1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</row>
    <row r="410" spans="2:39" hidden="1">
      <c r="B410" t="s">
        <v>587</v>
      </c>
      <c r="C410" s="11" t="s">
        <v>1867</v>
      </c>
      <c r="D410" t="s">
        <v>168</v>
      </c>
      <c r="E410">
        <v>1</v>
      </c>
      <c r="F410">
        <v>1.214</v>
      </c>
      <c r="G410">
        <v>1</v>
      </c>
      <c r="H410">
        <v>1</v>
      </c>
      <c r="I410">
        <v>-1.8080000000000001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R410">
        <v>658.1</v>
      </c>
      <c r="S410">
        <v>645.07237764273702</v>
      </c>
      <c r="T410">
        <v>628.60644914264367</v>
      </c>
      <c r="U410">
        <v>608.70221449971973</v>
      </c>
      <c r="V410">
        <v>585.35967371396544</v>
      </c>
      <c r="W410">
        <v>558.57882678538067</v>
      </c>
      <c r="X410">
        <v>528.35967371396544</v>
      </c>
      <c r="Y410">
        <v>494.70221449971973</v>
      </c>
      <c r="Z410">
        <v>457.60644914264367</v>
      </c>
      <c r="AA410">
        <v>417.07237764273702</v>
      </c>
      <c r="AB410">
        <v>373.1</v>
      </c>
      <c r="AC410">
        <v>1.33</v>
      </c>
      <c r="AD410">
        <v>1.4971579897521019</v>
      </c>
      <c r="AE410">
        <v>1.7003563523392669</v>
      </c>
      <c r="AF410">
        <v>1.9515271756832897</v>
      </c>
      <c r="AG410">
        <v>2.2683259722187352</v>
      </c>
      <c r="AH410">
        <v>2.6779810222333524</v>
      </c>
      <c r="AI410">
        <v>3.2247153468547407</v>
      </c>
      <c r="AJ410">
        <v>3.9853102411706729</v>
      </c>
      <c r="AK410">
        <v>5.1055456370086789</v>
      </c>
      <c r="AL410">
        <v>6.8995607805757091</v>
      </c>
      <c r="AM410">
        <v>10.19</v>
      </c>
    </row>
    <row r="411" spans="2:39" hidden="1">
      <c r="B411" t="s">
        <v>588</v>
      </c>
      <c r="C411" s="11" t="s">
        <v>1868</v>
      </c>
      <c r="D411" t="s">
        <v>589</v>
      </c>
      <c r="E411">
        <v>1</v>
      </c>
      <c r="F411">
        <v>1.0420901</v>
      </c>
      <c r="G411">
        <v>1</v>
      </c>
      <c r="H411">
        <v>1.0050934</v>
      </c>
      <c r="I411">
        <v>1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</row>
    <row r="412" spans="2:39">
      <c r="B412" t="s">
        <v>590</v>
      </c>
      <c r="C412" s="11" t="s">
        <v>1869</v>
      </c>
      <c r="D412" t="s">
        <v>176</v>
      </c>
      <c r="E412">
        <v>1.003673444808</v>
      </c>
      <c r="F412">
        <v>0.90627000000000002</v>
      </c>
      <c r="G412">
        <v>1</v>
      </c>
      <c r="H412">
        <v>1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</row>
    <row r="413" spans="2:39">
      <c r="B413" t="s">
        <v>591</v>
      </c>
      <c r="C413" s="11" t="s">
        <v>1870</v>
      </c>
      <c r="D413" t="s">
        <v>176</v>
      </c>
      <c r="E413">
        <v>1</v>
      </c>
      <c r="F413">
        <v>0.97482519999999995</v>
      </c>
      <c r="G413">
        <v>1</v>
      </c>
      <c r="H413">
        <v>1.0178106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</row>
    <row r="414" spans="2:39">
      <c r="B414" t="s">
        <v>592</v>
      </c>
      <c r="C414" s="11" t="s">
        <v>1871</v>
      </c>
      <c r="D414" t="s">
        <v>176</v>
      </c>
      <c r="E414">
        <v>1</v>
      </c>
      <c r="F414">
        <v>0.86161940000000004</v>
      </c>
      <c r="G414">
        <v>1</v>
      </c>
      <c r="H414">
        <v>1.0198058000000001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</row>
    <row r="415" spans="2:39">
      <c r="B415" t="s">
        <v>593</v>
      </c>
      <c r="C415" s="11" t="s">
        <v>1872</v>
      </c>
      <c r="D415" t="s">
        <v>176</v>
      </c>
      <c r="E415">
        <v>1</v>
      </c>
      <c r="F415">
        <v>0.99330280000000004</v>
      </c>
      <c r="G415">
        <v>1</v>
      </c>
      <c r="H415">
        <v>1.0073196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</row>
    <row r="416" spans="2:39">
      <c r="B416" t="s">
        <v>594</v>
      </c>
      <c r="C416" s="11" t="s">
        <v>1873</v>
      </c>
      <c r="D416" t="s">
        <v>176</v>
      </c>
      <c r="E416">
        <v>1</v>
      </c>
      <c r="F416">
        <v>0.88077340000000004</v>
      </c>
      <c r="G416">
        <v>1</v>
      </c>
      <c r="H416">
        <v>1.0424065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</row>
    <row r="417" spans="2:16">
      <c r="B417" t="s">
        <v>595</v>
      </c>
      <c r="C417" s="11" t="s">
        <v>1874</v>
      </c>
      <c r="D417" t="s">
        <v>176</v>
      </c>
      <c r="E417">
        <v>0.99761569999999999</v>
      </c>
      <c r="F417">
        <v>0.98909000000000002</v>
      </c>
      <c r="G417">
        <v>1</v>
      </c>
      <c r="H417">
        <v>1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</row>
    <row r="418" spans="2:16">
      <c r="B418" t="s">
        <v>596</v>
      </c>
      <c r="C418" s="11" t="s">
        <v>1875</v>
      </c>
      <c r="D418" t="s">
        <v>176</v>
      </c>
      <c r="E418">
        <v>1</v>
      </c>
      <c r="F418">
        <v>0.90322009999999997</v>
      </c>
      <c r="G418">
        <v>1</v>
      </c>
      <c r="H418">
        <v>1.0256396999999999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</row>
    <row r="419" spans="2:16" hidden="1">
      <c r="B419" t="s">
        <v>597</v>
      </c>
      <c r="C419" s="11" t="s">
        <v>1876</v>
      </c>
      <c r="D419" t="s">
        <v>182</v>
      </c>
      <c r="E419">
        <v>1.0005200000000001</v>
      </c>
      <c r="F419">
        <v>0.94853799999999999</v>
      </c>
      <c r="G419">
        <v>0.99334599999999995</v>
      </c>
      <c r="H419">
        <v>1.0221100000000001</v>
      </c>
      <c r="I419">
        <v>-0.27770800000000001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</row>
    <row r="420" spans="2:16" hidden="1">
      <c r="B420" t="s">
        <v>598</v>
      </c>
      <c r="C420" s="11" t="s">
        <v>1877</v>
      </c>
      <c r="D420" t="s">
        <v>599</v>
      </c>
      <c r="E420">
        <v>1</v>
      </c>
      <c r="F420">
        <v>1.0114076000000001</v>
      </c>
      <c r="G420">
        <v>1</v>
      </c>
      <c r="H420">
        <v>1.0137206999999999</v>
      </c>
      <c r="I420">
        <v>1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</row>
    <row r="421" spans="2:16">
      <c r="B421" t="s">
        <v>600</v>
      </c>
      <c r="C421" s="11" t="s">
        <v>1878</v>
      </c>
      <c r="D421" t="s">
        <v>176</v>
      </c>
      <c r="E421">
        <v>1</v>
      </c>
      <c r="F421">
        <v>1.0255000000000001</v>
      </c>
      <c r="G421">
        <v>1</v>
      </c>
      <c r="H421">
        <v>0.83209999999999995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</row>
    <row r="422" spans="2:16">
      <c r="B422" t="s">
        <v>601</v>
      </c>
      <c r="C422" s="11" t="s">
        <v>1879</v>
      </c>
      <c r="D422" t="s">
        <v>176</v>
      </c>
      <c r="E422">
        <v>1</v>
      </c>
      <c r="F422">
        <v>0.99755470000000002</v>
      </c>
      <c r="G422">
        <v>1</v>
      </c>
      <c r="H422">
        <v>1.0120247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</row>
    <row r="423" spans="2:16" hidden="1">
      <c r="B423" t="s">
        <v>602</v>
      </c>
      <c r="C423" s="11" t="s">
        <v>1880</v>
      </c>
      <c r="D423" t="s">
        <v>187</v>
      </c>
      <c r="E423">
        <v>1.00343</v>
      </c>
      <c r="F423">
        <v>0.97785699999999998</v>
      </c>
      <c r="G423">
        <v>1.00586</v>
      </c>
      <c r="H423">
        <v>0.982707</v>
      </c>
      <c r="I423">
        <v>-0.26541900000000002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</row>
    <row r="424" spans="2:16">
      <c r="B424" t="s">
        <v>603</v>
      </c>
      <c r="C424" s="11" t="s">
        <v>1881</v>
      </c>
      <c r="D424" t="s">
        <v>176</v>
      </c>
      <c r="E424">
        <v>1</v>
      </c>
      <c r="F424">
        <v>0.95730749999999998</v>
      </c>
      <c r="G424">
        <v>1</v>
      </c>
      <c r="H424">
        <v>1.0589568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</row>
    <row r="425" spans="2:16">
      <c r="B425" t="s">
        <v>604</v>
      </c>
      <c r="C425" s="11" t="s">
        <v>1882</v>
      </c>
      <c r="D425" t="s">
        <v>176</v>
      </c>
      <c r="E425">
        <v>1</v>
      </c>
      <c r="F425">
        <v>0.8573096</v>
      </c>
      <c r="G425">
        <v>1</v>
      </c>
      <c r="H425">
        <v>1.0454475999999999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</row>
    <row r="426" spans="2:16">
      <c r="B426" t="s">
        <v>605</v>
      </c>
      <c r="C426" s="11" t="s">
        <v>1883</v>
      </c>
      <c r="D426" t="s">
        <v>176</v>
      </c>
      <c r="E426">
        <v>1.0023799507169999</v>
      </c>
      <c r="F426">
        <v>0.99968000000000001</v>
      </c>
      <c r="G426">
        <v>1</v>
      </c>
      <c r="H426">
        <v>1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</row>
    <row r="427" spans="2:16">
      <c r="B427" t="s">
        <v>606</v>
      </c>
      <c r="C427" s="11" t="s">
        <v>1884</v>
      </c>
      <c r="D427" t="s">
        <v>176</v>
      </c>
      <c r="E427">
        <v>1</v>
      </c>
      <c r="F427">
        <v>0.97181260000000003</v>
      </c>
      <c r="G427">
        <v>1</v>
      </c>
      <c r="H427">
        <v>1.0305781000000001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</row>
    <row r="428" spans="2:16">
      <c r="B428" t="s">
        <v>607</v>
      </c>
      <c r="C428" s="11" t="s">
        <v>1885</v>
      </c>
      <c r="D428" t="s">
        <v>176</v>
      </c>
      <c r="E428">
        <v>1.020262411492</v>
      </c>
      <c r="F428">
        <v>0.85397999999999996</v>
      </c>
      <c r="G428">
        <v>1</v>
      </c>
      <c r="H428">
        <v>1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</row>
    <row r="429" spans="2:16">
      <c r="B429" t="s">
        <v>608</v>
      </c>
      <c r="C429" s="11" t="s">
        <v>1886</v>
      </c>
      <c r="D429" t="s">
        <v>176</v>
      </c>
      <c r="E429">
        <v>1</v>
      </c>
      <c r="F429">
        <v>0.98818479999999997</v>
      </c>
      <c r="G429">
        <v>1</v>
      </c>
      <c r="H429">
        <v>1.0540041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</row>
    <row r="430" spans="2:16">
      <c r="B430" t="s">
        <v>609</v>
      </c>
      <c r="C430" s="11" t="s">
        <v>1887</v>
      </c>
      <c r="D430" t="s">
        <v>176</v>
      </c>
      <c r="E430">
        <v>1</v>
      </c>
      <c r="F430">
        <v>0.89975159999999998</v>
      </c>
      <c r="G430">
        <v>1</v>
      </c>
      <c r="H430">
        <v>0.79527029999999999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</row>
    <row r="431" spans="2:16">
      <c r="B431" t="s">
        <v>610</v>
      </c>
      <c r="C431" s="11" t="s">
        <v>1888</v>
      </c>
      <c r="D431" t="s">
        <v>176</v>
      </c>
      <c r="E431">
        <v>1.0018834999999999</v>
      </c>
      <c r="F431">
        <v>1.0116499999999999</v>
      </c>
      <c r="G431">
        <v>1</v>
      </c>
      <c r="H431">
        <v>1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</row>
    <row r="432" spans="2:16">
      <c r="B432" t="s">
        <v>611</v>
      </c>
      <c r="C432" s="11" t="s">
        <v>1889</v>
      </c>
      <c r="D432" t="s">
        <v>176</v>
      </c>
      <c r="E432">
        <v>1</v>
      </c>
      <c r="F432">
        <v>0.97206099999999995</v>
      </c>
      <c r="G432">
        <v>1</v>
      </c>
      <c r="H432">
        <v>1.0550885999999999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</row>
    <row r="433" spans="2:16">
      <c r="B433" t="s">
        <v>612</v>
      </c>
      <c r="C433" s="11" t="s">
        <v>1890</v>
      </c>
      <c r="D433" t="s">
        <v>176</v>
      </c>
      <c r="E433">
        <v>1</v>
      </c>
      <c r="F433">
        <v>0.88854770000000005</v>
      </c>
      <c r="G433">
        <v>1</v>
      </c>
      <c r="H433">
        <v>1.0683958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</row>
    <row r="434" spans="2:16">
      <c r="B434" t="s">
        <v>613</v>
      </c>
      <c r="C434" s="11" t="s">
        <v>1891</v>
      </c>
      <c r="D434" t="s">
        <v>176</v>
      </c>
      <c r="E434">
        <v>1.0070493454180001</v>
      </c>
      <c r="F434">
        <v>1.0117499999999999</v>
      </c>
      <c r="G434">
        <v>1</v>
      </c>
      <c r="H434">
        <v>1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</row>
    <row r="435" spans="2:16">
      <c r="B435" t="s">
        <v>614</v>
      </c>
      <c r="C435" s="11" t="s">
        <v>1892</v>
      </c>
      <c r="D435" t="s">
        <v>176</v>
      </c>
      <c r="E435">
        <v>1.025031263454</v>
      </c>
      <c r="F435">
        <v>1.01657</v>
      </c>
      <c r="G435">
        <v>1</v>
      </c>
      <c r="H435">
        <v>1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</row>
    <row r="436" spans="2:16">
      <c r="B436" t="s">
        <v>615</v>
      </c>
      <c r="C436" s="11" t="s">
        <v>1893</v>
      </c>
      <c r="D436" t="s">
        <v>176</v>
      </c>
      <c r="E436">
        <v>1.015980045339</v>
      </c>
      <c r="F436">
        <v>0.98172999999999999</v>
      </c>
      <c r="G436">
        <v>1</v>
      </c>
      <c r="H436">
        <v>1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</row>
    <row r="437" spans="2:16">
      <c r="B437" t="s">
        <v>616</v>
      </c>
      <c r="C437" s="11" t="s">
        <v>1894</v>
      </c>
      <c r="D437" t="s">
        <v>176</v>
      </c>
      <c r="E437">
        <v>1</v>
      </c>
      <c r="F437">
        <v>0.9929</v>
      </c>
      <c r="G437">
        <v>1</v>
      </c>
      <c r="H437">
        <v>1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</row>
    <row r="438" spans="2:16">
      <c r="B438" t="s">
        <v>617</v>
      </c>
      <c r="C438" s="11" t="s">
        <v>1895</v>
      </c>
      <c r="D438" t="s">
        <v>176</v>
      </c>
      <c r="E438">
        <v>1</v>
      </c>
      <c r="F438">
        <v>1.0122</v>
      </c>
      <c r="G438">
        <v>1</v>
      </c>
      <c r="H438">
        <v>1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</row>
    <row r="439" spans="2:16">
      <c r="B439" t="s">
        <v>618</v>
      </c>
      <c r="C439" s="11" t="s">
        <v>1896</v>
      </c>
      <c r="D439" t="s">
        <v>176</v>
      </c>
      <c r="E439">
        <v>0.99272333793300005</v>
      </c>
      <c r="F439">
        <v>0.92944000000000004</v>
      </c>
      <c r="G439">
        <v>1</v>
      </c>
      <c r="H439">
        <v>1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</row>
    <row r="440" spans="2:16" hidden="1">
      <c r="B440" t="s">
        <v>619</v>
      </c>
      <c r="C440" s="11" t="s">
        <v>1897</v>
      </c>
      <c r="D440" t="s">
        <v>471</v>
      </c>
      <c r="E440">
        <v>1</v>
      </c>
      <c r="F440">
        <v>1.0081513</v>
      </c>
      <c r="G440">
        <v>1</v>
      </c>
      <c r="H440">
        <v>0.99931320000000001</v>
      </c>
      <c r="I440">
        <v>1.1697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</row>
    <row r="441" spans="2:16">
      <c r="B441" t="s">
        <v>620</v>
      </c>
      <c r="C441" s="11" t="s">
        <v>1898</v>
      </c>
      <c r="D441" t="s">
        <v>176</v>
      </c>
      <c r="E441">
        <v>1</v>
      </c>
      <c r="F441">
        <v>0.89930180000000004</v>
      </c>
      <c r="G441">
        <v>1</v>
      </c>
      <c r="H441">
        <v>1.0001703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</row>
    <row r="442" spans="2:16">
      <c r="B442" t="s">
        <v>621</v>
      </c>
      <c r="C442" s="11" t="s">
        <v>1899</v>
      </c>
      <c r="D442" t="s">
        <v>176</v>
      </c>
      <c r="E442">
        <v>1</v>
      </c>
      <c r="F442">
        <v>0.97756609999999999</v>
      </c>
      <c r="G442">
        <v>1</v>
      </c>
      <c r="H442">
        <v>1.0046832000000001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</row>
    <row r="443" spans="2:16">
      <c r="B443" t="s">
        <v>622</v>
      </c>
      <c r="C443" s="11" t="s">
        <v>1900</v>
      </c>
      <c r="D443" t="s">
        <v>176</v>
      </c>
      <c r="E443">
        <v>1.0002800784220001</v>
      </c>
      <c r="F443">
        <v>0.96147000000000005</v>
      </c>
      <c r="G443">
        <v>1</v>
      </c>
      <c r="H443">
        <v>1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</row>
    <row r="444" spans="2:16">
      <c r="B444" t="s">
        <v>623</v>
      </c>
      <c r="C444" s="11" t="s">
        <v>1901</v>
      </c>
      <c r="D444" t="s">
        <v>176</v>
      </c>
      <c r="E444">
        <v>1.0104299999999999</v>
      </c>
      <c r="F444">
        <v>0.99311000000000005</v>
      </c>
      <c r="G444">
        <v>1</v>
      </c>
      <c r="H444">
        <v>1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</row>
    <row r="445" spans="2:16">
      <c r="B445" t="s">
        <v>624</v>
      </c>
      <c r="C445" s="11" t="s">
        <v>1902</v>
      </c>
      <c r="D445" t="s">
        <v>176</v>
      </c>
      <c r="E445">
        <v>0.95649845047299997</v>
      </c>
      <c r="F445">
        <v>0.96865999999999997</v>
      </c>
      <c r="G445">
        <v>1</v>
      </c>
      <c r="H445">
        <v>1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</row>
    <row r="446" spans="2:16">
      <c r="B446" t="s">
        <v>625</v>
      </c>
      <c r="C446" s="11" t="s">
        <v>1903</v>
      </c>
      <c r="D446" t="s">
        <v>176</v>
      </c>
      <c r="E446">
        <v>0.98500817556800002</v>
      </c>
      <c r="F446">
        <v>0.91039000000000003</v>
      </c>
      <c r="G446">
        <v>1</v>
      </c>
      <c r="H446">
        <v>1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</row>
    <row r="447" spans="2:16">
      <c r="B447" t="s">
        <v>626</v>
      </c>
      <c r="C447" s="11" t="s">
        <v>1904</v>
      </c>
      <c r="D447" t="s">
        <v>176</v>
      </c>
      <c r="E447">
        <v>1</v>
      </c>
      <c r="F447">
        <v>0.999</v>
      </c>
      <c r="G447">
        <v>1</v>
      </c>
      <c r="H447">
        <v>1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</row>
    <row r="448" spans="2:16" hidden="1">
      <c r="B448" t="s">
        <v>627</v>
      </c>
      <c r="C448" s="11" t="s">
        <v>1905</v>
      </c>
      <c r="D448" t="s">
        <v>471</v>
      </c>
      <c r="E448">
        <v>1</v>
      </c>
      <c r="F448">
        <v>1.0005991000000001</v>
      </c>
      <c r="G448">
        <v>1</v>
      </c>
      <c r="H448">
        <v>0.99929769999999996</v>
      </c>
      <c r="I448">
        <v>1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</row>
    <row r="449" spans="2:16">
      <c r="B449" t="s">
        <v>628</v>
      </c>
      <c r="C449" s="11" t="s">
        <v>1906</v>
      </c>
      <c r="D449" t="s">
        <v>176</v>
      </c>
      <c r="E449">
        <v>1</v>
      </c>
      <c r="F449">
        <v>1.0529664000000001</v>
      </c>
      <c r="G449">
        <v>1</v>
      </c>
      <c r="H449">
        <v>1.0039378999999999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</row>
    <row r="450" spans="2:16">
      <c r="B450" t="s">
        <v>629</v>
      </c>
      <c r="C450" s="11" t="s">
        <v>1907</v>
      </c>
      <c r="D450" t="s">
        <v>176</v>
      </c>
      <c r="E450">
        <v>0.99429000000000001</v>
      </c>
      <c r="F450">
        <v>1.00282</v>
      </c>
      <c r="G450">
        <v>1</v>
      </c>
      <c r="H450">
        <v>1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</row>
    <row r="451" spans="2:16">
      <c r="B451" t="s">
        <v>630</v>
      </c>
      <c r="C451" s="11" t="s">
        <v>1908</v>
      </c>
      <c r="D451" t="s">
        <v>176</v>
      </c>
      <c r="E451">
        <v>1.00105</v>
      </c>
      <c r="F451">
        <v>1.0051699999999999</v>
      </c>
      <c r="G451">
        <v>1</v>
      </c>
      <c r="H451">
        <v>1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</row>
    <row r="452" spans="2:16">
      <c r="B452" t="s">
        <v>631</v>
      </c>
      <c r="C452" s="11" t="s">
        <v>1909</v>
      </c>
      <c r="D452" t="s">
        <v>176</v>
      </c>
      <c r="E452">
        <v>1.0029999999999999</v>
      </c>
      <c r="F452">
        <v>1.0071000000000001</v>
      </c>
      <c r="G452">
        <v>1</v>
      </c>
      <c r="H452">
        <v>1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</row>
    <row r="453" spans="2:16">
      <c r="B453" t="s">
        <v>632</v>
      </c>
      <c r="C453" s="11" t="s">
        <v>1910</v>
      </c>
      <c r="D453" t="s">
        <v>176</v>
      </c>
      <c r="E453">
        <v>1.00101</v>
      </c>
      <c r="F453">
        <v>1.00302</v>
      </c>
      <c r="G453">
        <v>1</v>
      </c>
      <c r="H453">
        <v>1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</row>
    <row r="454" spans="2:16">
      <c r="B454" t="s">
        <v>633</v>
      </c>
      <c r="C454" s="11" t="s">
        <v>1911</v>
      </c>
      <c r="D454" t="s">
        <v>176</v>
      </c>
      <c r="E454">
        <v>1</v>
      </c>
      <c r="F454">
        <v>0.90538079999999999</v>
      </c>
      <c r="G454">
        <v>1</v>
      </c>
      <c r="H454">
        <v>1.0036183000000001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</row>
    <row r="455" spans="2:16">
      <c r="B455" t="s">
        <v>634</v>
      </c>
      <c r="C455" s="11" t="s">
        <v>1912</v>
      </c>
      <c r="D455" t="s">
        <v>176</v>
      </c>
      <c r="E455">
        <v>1</v>
      </c>
      <c r="F455">
        <v>1.0094114999999999</v>
      </c>
      <c r="G455">
        <v>1</v>
      </c>
      <c r="H455">
        <v>1.0063437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</row>
    <row r="456" spans="2:16">
      <c r="B456" t="s">
        <v>635</v>
      </c>
      <c r="C456" s="11" t="s">
        <v>1913</v>
      </c>
      <c r="D456" t="s">
        <v>176</v>
      </c>
      <c r="E456">
        <v>1</v>
      </c>
      <c r="F456">
        <v>0.90132120000000004</v>
      </c>
      <c r="G456">
        <v>1</v>
      </c>
      <c r="H456">
        <v>1.0032460000000001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</row>
    <row r="457" spans="2:16">
      <c r="B457" t="s">
        <v>636</v>
      </c>
      <c r="C457" s="11" t="s">
        <v>1914</v>
      </c>
      <c r="D457" t="s">
        <v>176</v>
      </c>
      <c r="E457">
        <v>0.99946999999999997</v>
      </c>
      <c r="F457">
        <v>1.0104599999999999</v>
      </c>
      <c r="G457">
        <v>1</v>
      </c>
      <c r="H457">
        <v>1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</row>
    <row r="458" spans="2:16">
      <c r="B458" t="s">
        <v>637</v>
      </c>
      <c r="C458" s="11" t="s">
        <v>1915</v>
      </c>
      <c r="D458" t="s">
        <v>176</v>
      </c>
      <c r="E458">
        <v>0.99836000000000003</v>
      </c>
      <c r="F458">
        <v>1.01325</v>
      </c>
      <c r="G458">
        <v>1</v>
      </c>
      <c r="H458">
        <v>1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</row>
    <row r="459" spans="2:16">
      <c r="B459" t="s">
        <v>638</v>
      </c>
      <c r="C459" s="11" t="s">
        <v>1916</v>
      </c>
      <c r="D459" t="s">
        <v>176</v>
      </c>
      <c r="E459">
        <v>1</v>
      </c>
      <c r="F459">
        <v>0.91551959999999999</v>
      </c>
      <c r="G459">
        <v>1</v>
      </c>
      <c r="H459">
        <v>1.0119468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</row>
    <row r="460" spans="2:16">
      <c r="B460" t="s">
        <v>639</v>
      </c>
      <c r="C460" s="11" t="s">
        <v>1917</v>
      </c>
      <c r="D460" t="s">
        <v>176</v>
      </c>
      <c r="E460">
        <v>0.99540124624199999</v>
      </c>
      <c r="F460">
        <v>1.05044</v>
      </c>
      <c r="G460">
        <v>1</v>
      </c>
      <c r="H460">
        <v>1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</row>
    <row r="461" spans="2:16">
      <c r="B461" t="s">
        <v>640</v>
      </c>
      <c r="C461" s="11" t="s">
        <v>1918</v>
      </c>
      <c r="D461" t="s">
        <v>176</v>
      </c>
      <c r="E461">
        <v>1.001001001001</v>
      </c>
      <c r="F461">
        <v>0.995</v>
      </c>
      <c r="G461">
        <v>1</v>
      </c>
      <c r="H461">
        <v>1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</row>
    <row r="462" spans="2:16">
      <c r="B462" t="s">
        <v>641</v>
      </c>
      <c r="C462" s="11" t="s">
        <v>1919</v>
      </c>
      <c r="D462" t="s">
        <v>176</v>
      </c>
      <c r="E462">
        <v>1</v>
      </c>
      <c r="F462">
        <v>0.97840130000000003</v>
      </c>
      <c r="G462">
        <v>1</v>
      </c>
      <c r="H462">
        <v>1.0009101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</row>
    <row r="463" spans="2:16">
      <c r="B463" t="s">
        <v>642</v>
      </c>
      <c r="C463" s="11" t="s">
        <v>1919</v>
      </c>
      <c r="D463" t="s">
        <v>176</v>
      </c>
      <c r="E463">
        <v>1</v>
      </c>
      <c r="F463">
        <v>0.94282969999999999</v>
      </c>
      <c r="G463">
        <v>1</v>
      </c>
      <c r="H463">
        <v>1.0082859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</row>
    <row r="464" spans="2:16">
      <c r="B464" t="s">
        <v>643</v>
      </c>
      <c r="C464" s="11" t="s">
        <v>1920</v>
      </c>
      <c r="D464" t="s">
        <v>176</v>
      </c>
      <c r="E464">
        <v>0.97209999999999996</v>
      </c>
      <c r="F464">
        <v>0.84830000000000005</v>
      </c>
      <c r="G464">
        <v>1</v>
      </c>
      <c r="H464">
        <v>1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</row>
    <row r="465" spans="2:16">
      <c r="B465" t="s">
        <v>644</v>
      </c>
      <c r="C465" s="11" t="s">
        <v>1921</v>
      </c>
      <c r="D465" t="s">
        <v>176</v>
      </c>
      <c r="E465">
        <v>1.0190300000000001</v>
      </c>
      <c r="F465">
        <v>0.93686000000000003</v>
      </c>
      <c r="G465">
        <v>1</v>
      </c>
      <c r="H465">
        <v>1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</row>
    <row r="466" spans="2:16">
      <c r="B466" t="s">
        <v>645</v>
      </c>
      <c r="C466" s="11" t="s">
        <v>1922</v>
      </c>
      <c r="D466" t="s">
        <v>176</v>
      </c>
      <c r="E466">
        <v>1</v>
      </c>
      <c r="F466">
        <v>0.98870789999999997</v>
      </c>
      <c r="G466">
        <v>1</v>
      </c>
      <c r="H466">
        <v>1.0020049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</row>
    <row r="467" spans="2:16">
      <c r="B467" t="s">
        <v>646</v>
      </c>
      <c r="C467" s="11" t="s">
        <v>1923</v>
      </c>
      <c r="D467" t="s">
        <v>176</v>
      </c>
      <c r="E467">
        <v>1</v>
      </c>
      <c r="F467">
        <v>0.93646050000000003</v>
      </c>
      <c r="G467">
        <v>1</v>
      </c>
      <c r="H467">
        <v>1.0007007000000001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</row>
    <row r="468" spans="2:16">
      <c r="B468" t="s">
        <v>647</v>
      </c>
      <c r="C468" s="11" t="s">
        <v>1924</v>
      </c>
      <c r="D468" t="s">
        <v>176</v>
      </c>
      <c r="E468">
        <v>1</v>
      </c>
      <c r="F468">
        <v>0.99239999999999995</v>
      </c>
      <c r="G468">
        <v>1</v>
      </c>
      <c r="H468">
        <v>0.97499999999999998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</row>
    <row r="469" spans="2:16">
      <c r="B469" t="s">
        <v>648</v>
      </c>
      <c r="C469" s="11" t="s">
        <v>1925</v>
      </c>
      <c r="D469" t="s">
        <v>176</v>
      </c>
      <c r="E469">
        <v>1</v>
      </c>
      <c r="F469">
        <v>0.94995070000000004</v>
      </c>
      <c r="G469">
        <v>1</v>
      </c>
      <c r="H469">
        <v>1.0000359000000001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</row>
    <row r="470" spans="2:16">
      <c r="B470" t="s">
        <v>649</v>
      </c>
      <c r="C470" s="11" t="s">
        <v>1926</v>
      </c>
      <c r="D470" t="s">
        <v>176</v>
      </c>
      <c r="E470">
        <v>0.97181729834800001</v>
      </c>
      <c r="F470">
        <v>1.014</v>
      </c>
      <c r="G470">
        <v>1</v>
      </c>
      <c r="H470">
        <v>1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</row>
    <row r="471" spans="2:16">
      <c r="B471" t="s">
        <v>650</v>
      </c>
      <c r="C471" s="11" t="s">
        <v>1927</v>
      </c>
      <c r="D471" t="s">
        <v>176</v>
      </c>
      <c r="E471">
        <v>1</v>
      </c>
      <c r="F471">
        <v>0.9913727</v>
      </c>
      <c r="G471">
        <v>1</v>
      </c>
      <c r="H471">
        <v>1.0035574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</row>
    <row r="472" spans="2:16">
      <c r="B472" t="s">
        <v>651</v>
      </c>
      <c r="C472" s="11" t="s">
        <v>1928</v>
      </c>
      <c r="D472" t="s">
        <v>176</v>
      </c>
      <c r="E472">
        <v>1</v>
      </c>
      <c r="F472">
        <v>1.0075000000000001</v>
      </c>
      <c r="G472">
        <v>1</v>
      </c>
      <c r="H472">
        <v>1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</row>
    <row r="473" spans="2:16">
      <c r="B473" t="s">
        <v>652</v>
      </c>
      <c r="C473" s="11" t="s">
        <v>1929</v>
      </c>
      <c r="D473" t="s">
        <v>176</v>
      </c>
      <c r="E473">
        <v>1</v>
      </c>
      <c r="F473">
        <v>1.02</v>
      </c>
      <c r="G473">
        <v>1</v>
      </c>
      <c r="H473">
        <v>1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</row>
    <row r="474" spans="2:16">
      <c r="B474" t="s">
        <v>653</v>
      </c>
      <c r="C474" s="11" t="s">
        <v>1930</v>
      </c>
      <c r="D474" t="s">
        <v>176</v>
      </c>
      <c r="E474">
        <v>1</v>
      </c>
      <c r="F474">
        <v>0.97444379999999997</v>
      </c>
      <c r="G474">
        <v>1</v>
      </c>
      <c r="H474">
        <v>1.0187337000000001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</row>
    <row r="475" spans="2:16">
      <c r="B475" t="s">
        <v>654</v>
      </c>
      <c r="C475" s="11" t="s">
        <v>1931</v>
      </c>
      <c r="D475" t="s">
        <v>176</v>
      </c>
      <c r="E475">
        <v>1</v>
      </c>
      <c r="F475">
        <v>1.0349999999999999</v>
      </c>
      <c r="G475">
        <v>1</v>
      </c>
      <c r="H475">
        <v>1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</row>
    <row r="476" spans="2:16">
      <c r="B476" t="s">
        <v>655</v>
      </c>
      <c r="C476" s="11" t="s">
        <v>1932</v>
      </c>
      <c r="D476" t="s">
        <v>176</v>
      </c>
      <c r="E476">
        <v>1</v>
      </c>
      <c r="F476">
        <v>1.04</v>
      </c>
      <c r="G476">
        <v>1</v>
      </c>
      <c r="H476">
        <v>1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</row>
    <row r="477" spans="2:16">
      <c r="B477" t="s">
        <v>656</v>
      </c>
      <c r="C477" s="11" t="s">
        <v>1933</v>
      </c>
      <c r="D477" t="s">
        <v>176</v>
      </c>
      <c r="E477">
        <v>1.019919</v>
      </c>
      <c r="F477">
        <v>0.99014000000000002</v>
      </c>
      <c r="G477">
        <v>1</v>
      </c>
      <c r="H477">
        <v>1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</row>
    <row r="478" spans="2:16">
      <c r="B478" t="s">
        <v>657</v>
      </c>
      <c r="C478" s="11" t="s">
        <v>1934</v>
      </c>
      <c r="D478" t="s">
        <v>176</v>
      </c>
      <c r="E478">
        <v>1</v>
      </c>
      <c r="F478">
        <v>0.97899999999999998</v>
      </c>
      <c r="G478">
        <v>1</v>
      </c>
      <c r="H478">
        <v>1.0860000000000001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</row>
    <row r="479" spans="2:16">
      <c r="B479" t="s">
        <v>658</v>
      </c>
      <c r="C479" s="11" t="s">
        <v>1935</v>
      </c>
      <c r="D479" t="s">
        <v>176</v>
      </c>
      <c r="E479">
        <v>1.0214504596530001</v>
      </c>
      <c r="F479">
        <v>1.0680000000000001</v>
      </c>
      <c r="G479">
        <v>1</v>
      </c>
      <c r="H479">
        <v>1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</row>
    <row r="480" spans="2:16">
      <c r="B480" t="s">
        <v>659</v>
      </c>
      <c r="C480" s="11" t="s">
        <v>1936</v>
      </c>
      <c r="D480" t="s">
        <v>176</v>
      </c>
      <c r="E480">
        <v>1.0109999999999999</v>
      </c>
      <c r="F480">
        <v>1.022</v>
      </c>
      <c r="G480">
        <v>1</v>
      </c>
      <c r="H480">
        <v>1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</row>
    <row r="481" spans="2:16">
      <c r="B481" t="s">
        <v>660</v>
      </c>
      <c r="C481" s="11" t="s">
        <v>1937</v>
      </c>
      <c r="D481" t="s">
        <v>176</v>
      </c>
      <c r="E481">
        <v>1</v>
      </c>
      <c r="F481">
        <v>1.03</v>
      </c>
      <c r="G481">
        <v>1</v>
      </c>
      <c r="H481">
        <v>1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</row>
    <row r="482" spans="2:16">
      <c r="B482" t="s">
        <v>661</v>
      </c>
      <c r="C482" s="11" t="s">
        <v>1938</v>
      </c>
      <c r="D482" t="s">
        <v>176</v>
      </c>
      <c r="E482">
        <v>0.99901099999999998</v>
      </c>
      <c r="F482">
        <v>1.0408900000000001</v>
      </c>
      <c r="G482">
        <v>1</v>
      </c>
      <c r="H482">
        <v>1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</row>
    <row r="483" spans="2:16">
      <c r="B483" t="s">
        <v>662</v>
      </c>
      <c r="C483" s="11" t="s">
        <v>1939</v>
      </c>
      <c r="D483" t="s">
        <v>176</v>
      </c>
      <c r="E483">
        <v>1.0080645161290001</v>
      </c>
      <c r="F483">
        <v>1.0820000000000001</v>
      </c>
      <c r="G483">
        <v>1</v>
      </c>
      <c r="H483">
        <v>1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</row>
    <row r="484" spans="2:16">
      <c r="B484" t="s">
        <v>663</v>
      </c>
      <c r="C484" s="11" t="s">
        <v>1940</v>
      </c>
      <c r="D484" t="s">
        <v>176</v>
      </c>
      <c r="E484">
        <v>0.96453408181199995</v>
      </c>
      <c r="F484">
        <v>1.1138699999999999</v>
      </c>
      <c r="G484">
        <v>1</v>
      </c>
      <c r="H484">
        <v>1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</row>
    <row r="485" spans="2:16" hidden="1">
      <c r="B485" t="s">
        <v>664</v>
      </c>
      <c r="C485" s="11" t="s">
        <v>1941</v>
      </c>
      <c r="D485" t="s">
        <v>288</v>
      </c>
      <c r="E485">
        <v>0.93100000000000005</v>
      </c>
      <c r="F485">
        <v>0.87749999999999995</v>
      </c>
      <c r="G485">
        <v>1</v>
      </c>
      <c r="H485">
        <v>1</v>
      </c>
      <c r="I485">
        <v>0.76039999999999996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</row>
    <row r="486" spans="2:16">
      <c r="B486" t="s">
        <v>665</v>
      </c>
      <c r="C486" s="11" t="s">
        <v>1942</v>
      </c>
      <c r="D486" t="s">
        <v>176</v>
      </c>
      <c r="E486">
        <v>1.0214504596530001</v>
      </c>
      <c r="F486">
        <v>1.0389999999999999</v>
      </c>
      <c r="G486">
        <v>1</v>
      </c>
      <c r="H486">
        <v>1.024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</row>
    <row r="487" spans="2:16">
      <c r="B487" t="s">
        <v>666</v>
      </c>
      <c r="C487" s="11" t="s">
        <v>1943</v>
      </c>
      <c r="D487" t="s">
        <v>176</v>
      </c>
      <c r="E487">
        <v>0.979431929481</v>
      </c>
      <c r="F487">
        <v>1.097</v>
      </c>
      <c r="G487">
        <v>1</v>
      </c>
      <c r="H487">
        <v>1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</row>
    <row r="488" spans="2:16">
      <c r="B488" t="s">
        <v>667</v>
      </c>
      <c r="C488" s="11" t="s">
        <v>1944</v>
      </c>
      <c r="D488" t="s">
        <v>176</v>
      </c>
      <c r="E488">
        <v>0.99082000000000003</v>
      </c>
      <c r="F488">
        <v>1.09426</v>
      </c>
      <c r="G488">
        <v>1</v>
      </c>
      <c r="H488">
        <v>1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</row>
    <row r="489" spans="2:16">
      <c r="B489" t="s">
        <v>668</v>
      </c>
      <c r="C489" s="11" t="s">
        <v>1945</v>
      </c>
      <c r="D489" t="s">
        <v>176</v>
      </c>
      <c r="E489">
        <v>0.99349259999999995</v>
      </c>
      <c r="F489">
        <v>1.0981099999999999</v>
      </c>
      <c r="G489">
        <v>1</v>
      </c>
      <c r="H489">
        <v>1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</row>
    <row r="490" spans="2:16">
      <c r="B490" t="s">
        <v>669</v>
      </c>
      <c r="C490" s="11" t="s">
        <v>1946</v>
      </c>
      <c r="D490" t="s">
        <v>176</v>
      </c>
      <c r="E490">
        <v>0.97087378640800004</v>
      </c>
      <c r="F490">
        <v>1.117</v>
      </c>
      <c r="G490">
        <v>1</v>
      </c>
      <c r="H490">
        <v>1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</row>
    <row r="491" spans="2:16">
      <c r="B491" t="s">
        <v>670</v>
      </c>
      <c r="C491" s="11" t="s">
        <v>1947</v>
      </c>
      <c r="D491" t="s">
        <v>176</v>
      </c>
      <c r="E491">
        <v>0.95693779904300003</v>
      </c>
      <c r="F491">
        <v>1.1910000000000001</v>
      </c>
      <c r="G491">
        <v>1</v>
      </c>
      <c r="H491">
        <v>1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</row>
    <row r="492" spans="2:16">
      <c r="B492" t="s">
        <v>671</v>
      </c>
      <c r="C492" s="11" t="s">
        <v>1948</v>
      </c>
      <c r="D492" t="s">
        <v>176</v>
      </c>
      <c r="E492">
        <v>1</v>
      </c>
      <c r="F492">
        <v>0.91305380000000003</v>
      </c>
      <c r="G492">
        <v>1</v>
      </c>
      <c r="H492">
        <v>1.0000536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</row>
    <row r="493" spans="2:16">
      <c r="B493" t="s">
        <v>672</v>
      </c>
      <c r="C493" s="11" t="s">
        <v>1949</v>
      </c>
      <c r="D493" t="s">
        <v>176</v>
      </c>
      <c r="E493">
        <v>1</v>
      </c>
      <c r="F493">
        <v>0.99902650000000004</v>
      </c>
      <c r="G493">
        <v>1</v>
      </c>
      <c r="H493">
        <v>1.0023120999999999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</row>
    <row r="494" spans="2:16">
      <c r="B494" t="s">
        <v>673</v>
      </c>
      <c r="C494" s="11" t="s">
        <v>1950</v>
      </c>
      <c r="D494" t="s">
        <v>176</v>
      </c>
      <c r="E494">
        <v>0.99931000000000003</v>
      </c>
      <c r="F494">
        <v>0.99556</v>
      </c>
      <c r="G494">
        <v>1</v>
      </c>
      <c r="H494">
        <v>1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</row>
    <row r="495" spans="2:16">
      <c r="B495" t="s">
        <v>674</v>
      </c>
      <c r="C495" s="11" t="s">
        <v>1951</v>
      </c>
      <c r="D495" t="s">
        <v>176</v>
      </c>
      <c r="E495">
        <v>1</v>
      </c>
      <c r="F495">
        <v>0.94843999999999995</v>
      </c>
      <c r="G495">
        <v>1</v>
      </c>
      <c r="H495">
        <v>1.0007214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</row>
    <row r="496" spans="2:16">
      <c r="B496" t="s">
        <v>675</v>
      </c>
      <c r="C496" s="11" t="s">
        <v>1952</v>
      </c>
      <c r="D496" t="s">
        <v>176</v>
      </c>
      <c r="E496">
        <v>0.99976010000000004</v>
      </c>
      <c r="F496">
        <v>0.99522999999999995</v>
      </c>
      <c r="G496">
        <v>1</v>
      </c>
      <c r="H496">
        <v>1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</row>
    <row r="497" spans="2:16" hidden="1">
      <c r="B497" t="s">
        <v>676</v>
      </c>
      <c r="C497" s="11" t="s">
        <v>1953</v>
      </c>
      <c r="D497" t="s">
        <v>471</v>
      </c>
      <c r="E497">
        <v>1</v>
      </c>
      <c r="F497">
        <v>1.0040047000000001</v>
      </c>
      <c r="G497">
        <v>1</v>
      </c>
      <c r="H497">
        <v>1.0016349</v>
      </c>
      <c r="I497">
        <v>0.55569999999999997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</row>
    <row r="498" spans="2:16">
      <c r="B498" t="s">
        <v>677</v>
      </c>
      <c r="C498" s="11" t="s">
        <v>1954</v>
      </c>
      <c r="D498" t="s">
        <v>176</v>
      </c>
      <c r="E498">
        <v>0.99988001439800001</v>
      </c>
      <c r="F498">
        <v>0.99058999999999997</v>
      </c>
      <c r="G498">
        <v>1</v>
      </c>
      <c r="H498">
        <v>1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</row>
    <row r="499" spans="2:16">
      <c r="B499" t="s">
        <v>678</v>
      </c>
      <c r="C499" s="11" t="s">
        <v>1955</v>
      </c>
      <c r="D499" t="s">
        <v>176</v>
      </c>
      <c r="E499">
        <v>1</v>
      </c>
      <c r="F499">
        <v>0.98895409999999995</v>
      </c>
      <c r="G499">
        <v>1</v>
      </c>
      <c r="H499">
        <v>1.000572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</row>
    <row r="500" spans="2:16">
      <c r="B500" t="s">
        <v>679</v>
      </c>
      <c r="C500" s="11" t="s">
        <v>1956</v>
      </c>
      <c r="D500" t="s">
        <v>176</v>
      </c>
      <c r="E500">
        <v>1</v>
      </c>
      <c r="F500">
        <v>0.92544519999999997</v>
      </c>
      <c r="G500">
        <v>1</v>
      </c>
      <c r="H500">
        <v>1.0064788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</row>
    <row r="501" spans="2:16">
      <c r="B501" t="s">
        <v>680</v>
      </c>
      <c r="C501" s="11" t="s">
        <v>1957</v>
      </c>
      <c r="D501" t="s">
        <v>176</v>
      </c>
      <c r="E501">
        <v>0.99780482937500004</v>
      </c>
      <c r="F501">
        <v>0.94374999999999998</v>
      </c>
      <c r="G501">
        <v>1</v>
      </c>
      <c r="H501">
        <v>1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</row>
    <row r="502" spans="2:16">
      <c r="B502" t="s">
        <v>681</v>
      </c>
      <c r="C502" s="11" t="s">
        <v>1958</v>
      </c>
      <c r="D502" t="s">
        <v>176</v>
      </c>
      <c r="E502">
        <v>0.99911000000000005</v>
      </c>
      <c r="F502">
        <v>1.01834</v>
      </c>
      <c r="G502">
        <v>1</v>
      </c>
      <c r="H502">
        <v>1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</row>
    <row r="503" spans="2:16">
      <c r="B503" t="s">
        <v>682</v>
      </c>
      <c r="C503" s="11" t="s">
        <v>1959</v>
      </c>
      <c r="D503" t="s">
        <v>176</v>
      </c>
      <c r="E503">
        <v>0.99907086409599999</v>
      </c>
      <c r="F503">
        <v>0.91912000000000005</v>
      </c>
      <c r="G503">
        <v>1</v>
      </c>
      <c r="H503">
        <v>1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</row>
    <row r="504" spans="2:16">
      <c r="B504" t="s">
        <v>683</v>
      </c>
      <c r="C504" s="11" t="s">
        <v>1960</v>
      </c>
      <c r="D504" t="s">
        <v>176</v>
      </c>
      <c r="E504">
        <v>1</v>
      </c>
      <c r="F504">
        <v>0.94123290000000004</v>
      </c>
      <c r="G504">
        <v>1</v>
      </c>
      <c r="H504">
        <v>1.0030692000000001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</row>
    <row r="505" spans="2:16">
      <c r="B505" t="s">
        <v>684</v>
      </c>
      <c r="C505" s="11" t="s">
        <v>1961</v>
      </c>
      <c r="D505" t="s">
        <v>176</v>
      </c>
      <c r="E505">
        <v>1</v>
      </c>
      <c r="F505">
        <v>0.94328270000000003</v>
      </c>
      <c r="G505">
        <v>1</v>
      </c>
      <c r="H505">
        <v>1.0043337999999999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</row>
    <row r="506" spans="2:16">
      <c r="B506" t="s">
        <v>685</v>
      </c>
      <c r="C506" s="11" t="s">
        <v>1962</v>
      </c>
      <c r="D506" t="s">
        <v>176</v>
      </c>
      <c r="E506">
        <v>0.95989999999999998</v>
      </c>
      <c r="F506">
        <v>0.79049999999999998</v>
      </c>
      <c r="G506">
        <v>1</v>
      </c>
      <c r="H506">
        <v>1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</row>
    <row r="507" spans="2:16">
      <c r="B507" t="s">
        <v>686</v>
      </c>
      <c r="C507" s="11" t="s">
        <v>1963</v>
      </c>
      <c r="D507" t="s">
        <v>176</v>
      </c>
      <c r="E507">
        <v>1.0024359</v>
      </c>
      <c r="F507">
        <v>0.98041</v>
      </c>
      <c r="G507">
        <v>1</v>
      </c>
      <c r="H507">
        <v>1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</row>
    <row r="508" spans="2:16">
      <c r="B508" t="s">
        <v>687</v>
      </c>
      <c r="C508" s="11" t="s">
        <v>1964</v>
      </c>
      <c r="D508" t="s">
        <v>176</v>
      </c>
      <c r="E508">
        <v>1.01214</v>
      </c>
      <c r="F508">
        <v>0.92232999999999998</v>
      </c>
      <c r="G508">
        <v>1</v>
      </c>
      <c r="H508">
        <v>1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</row>
    <row r="509" spans="2:16">
      <c r="B509" t="s">
        <v>688</v>
      </c>
      <c r="C509" s="11" t="s">
        <v>1965</v>
      </c>
      <c r="D509" t="s">
        <v>176</v>
      </c>
      <c r="E509">
        <v>1</v>
      </c>
      <c r="F509">
        <v>0.90023940000000002</v>
      </c>
      <c r="G509">
        <v>1</v>
      </c>
      <c r="H509">
        <v>1.0000015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</row>
    <row r="510" spans="2:16">
      <c r="B510" t="s">
        <v>689</v>
      </c>
      <c r="C510" s="11" t="s">
        <v>1966</v>
      </c>
      <c r="D510" t="s">
        <v>176</v>
      </c>
      <c r="E510">
        <v>1</v>
      </c>
      <c r="F510">
        <v>0.96579999999999999</v>
      </c>
      <c r="G510">
        <v>1</v>
      </c>
      <c r="H510">
        <v>0.98570000000000002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</row>
    <row r="511" spans="2:16">
      <c r="B511" t="s">
        <v>690</v>
      </c>
      <c r="C511" s="11" t="s">
        <v>1967</v>
      </c>
      <c r="D511" t="s">
        <v>176</v>
      </c>
      <c r="E511">
        <v>1.01223</v>
      </c>
      <c r="F511">
        <v>0.92008999999999996</v>
      </c>
      <c r="G511">
        <v>1</v>
      </c>
      <c r="H511">
        <v>1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</row>
    <row r="512" spans="2:16">
      <c r="B512" t="s">
        <v>691</v>
      </c>
      <c r="C512" s="11" t="s">
        <v>1968</v>
      </c>
      <c r="D512" t="s">
        <v>176</v>
      </c>
      <c r="E512">
        <v>1.0055102</v>
      </c>
      <c r="F512">
        <v>0.98807</v>
      </c>
      <c r="G512">
        <v>1</v>
      </c>
      <c r="H512">
        <v>1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</row>
    <row r="513" spans="2:39">
      <c r="B513" t="s">
        <v>692</v>
      </c>
      <c r="C513" s="11" t="s">
        <v>1969</v>
      </c>
      <c r="D513" t="s">
        <v>176</v>
      </c>
      <c r="E513">
        <v>1.02125</v>
      </c>
      <c r="F513">
        <v>0.91449000000000003</v>
      </c>
      <c r="G513">
        <v>1</v>
      </c>
      <c r="H513">
        <v>1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</row>
    <row r="514" spans="2:39" hidden="1">
      <c r="B514" t="s">
        <v>693</v>
      </c>
      <c r="C514" s="11" t="s">
        <v>1970</v>
      </c>
      <c r="D514" t="s">
        <v>168</v>
      </c>
      <c r="E514">
        <v>0.99801229800000002</v>
      </c>
      <c r="F514">
        <v>1.0052507740000001</v>
      </c>
      <c r="G514">
        <v>0.99924314599999997</v>
      </c>
      <c r="H514">
        <v>1.001156119</v>
      </c>
      <c r="I514">
        <v>-5.5160977102399998E-2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R514">
        <v>407.81</v>
      </c>
      <c r="S514">
        <v>404.19000445163579</v>
      </c>
      <c r="T514">
        <v>400.58136409728723</v>
      </c>
      <c r="U514">
        <v>396.96553878235517</v>
      </c>
      <c r="V514">
        <v>393.32395885283756</v>
      </c>
      <c r="W514">
        <v>389.6380250966339</v>
      </c>
      <c r="X514">
        <v>385.8891086847118</v>
      </c>
      <c r="Y514">
        <v>382.05855111213117</v>
      </c>
      <c r="Z514">
        <v>378.12766413892859</v>
      </c>
      <c r="AA514">
        <v>374.07772973085969</v>
      </c>
      <c r="AB514">
        <v>369.89</v>
      </c>
      <c r="AC514">
        <v>3.8797567879999999</v>
      </c>
      <c r="AD514">
        <v>3.971778704757202</v>
      </c>
      <c r="AE514">
        <v>4.0673651794432857</v>
      </c>
      <c r="AF514">
        <v>4.1667861358655136</v>
      </c>
      <c r="AG514">
        <v>4.270340622872582</v>
      </c>
      <c r="AH514">
        <v>4.3783606478811574</v>
      </c>
      <c r="AI514">
        <v>4.4912156292116814</v>
      </c>
      <c r="AJ514">
        <v>4.6093175880590325</v>
      </c>
      <c r="AK514">
        <v>4.7331272286665262</v>
      </c>
      <c r="AL514">
        <v>4.8631610903827154</v>
      </c>
      <c r="AM514">
        <v>5</v>
      </c>
    </row>
    <row r="515" spans="2:39">
      <c r="B515" t="s">
        <v>694</v>
      </c>
      <c r="C515" s="11" t="s">
        <v>1971</v>
      </c>
      <c r="D515" t="s">
        <v>176</v>
      </c>
      <c r="E515">
        <v>1</v>
      </c>
      <c r="F515">
        <v>0.87380000000000002</v>
      </c>
      <c r="G515">
        <v>1</v>
      </c>
      <c r="H515">
        <v>1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</row>
    <row r="516" spans="2:39">
      <c r="B516" t="s">
        <v>695</v>
      </c>
      <c r="C516" s="11" t="s">
        <v>1972</v>
      </c>
      <c r="D516" t="s">
        <v>176</v>
      </c>
      <c r="E516">
        <v>1</v>
      </c>
      <c r="F516">
        <v>0.99270000000000003</v>
      </c>
      <c r="G516">
        <v>1</v>
      </c>
      <c r="H516">
        <v>1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</row>
    <row r="517" spans="2:39">
      <c r="B517" t="s">
        <v>696</v>
      </c>
      <c r="C517" s="11" t="s">
        <v>1973</v>
      </c>
      <c r="D517" t="s">
        <v>176</v>
      </c>
      <c r="E517">
        <v>1.0237700000000001</v>
      </c>
      <c r="F517">
        <v>0.92320000000000002</v>
      </c>
      <c r="G517">
        <v>1</v>
      </c>
      <c r="H517">
        <v>1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</row>
    <row r="518" spans="2:39">
      <c r="B518" t="s">
        <v>697</v>
      </c>
      <c r="C518" s="11" t="s">
        <v>1974</v>
      </c>
      <c r="D518" t="s">
        <v>176</v>
      </c>
      <c r="E518">
        <v>1.0256514999999999</v>
      </c>
      <c r="F518">
        <v>0.90986999999999996</v>
      </c>
      <c r="G518">
        <v>1</v>
      </c>
      <c r="H518">
        <v>1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</row>
    <row r="519" spans="2:39">
      <c r="B519" t="s">
        <v>698</v>
      </c>
      <c r="C519" s="11" t="s">
        <v>1975</v>
      </c>
      <c r="D519" t="s">
        <v>176</v>
      </c>
      <c r="E519">
        <v>1.0220400000000001</v>
      </c>
      <c r="F519">
        <v>0.91493000000000002</v>
      </c>
      <c r="G519">
        <v>1</v>
      </c>
      <c r="H519">
        <v>1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</row>
    <row r="520" spans="2:39" hidden="1">
      <c r="B520" t="s">
        <v>699</v>
      </c>
      <c r="C520" s="11" t="s">
        <v>1976</v>
      </c>
      <c r="D520" t="s">
        <v>168</v>
      </c>
      <c r="E520">
        <v>1.000310289</v>
      </c>
      <c r="F520">
        <v>1.0073927819999999</v>
      </c>
      <c r="G520">
        <v>0.99979586799999998</v>
      </c>
      <c r="H520">
        <v>1.0032641790000001</v>
      </c>
      <c r="I520">
        <v>3.1257260048899997E-2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R520">
        <v>425.125</v>
      </c>
      <c r="S520">
        <v>419.97413449067989</v>
      </c>
      <c r="T520">
        <v>414.73252605874222</v>
      </c>
      <c r="U520">
        <v>409.4031517185723</v>
      </c>
      <c r="V520">
        <v>403.98898774563656</v>
      </c>
      <c r="W520">
        <v>398.49300967671149</v>
      </c>
      <c r="X520">
        <v>392.91819231011266</v>
      </c>
      <c r="Y520">
        <v>387.2675097059244</v>
      </c>
      <c r="Z520">
        <v>381.5439351862284</v>
      </c>
      <c r="AA520">
        <v>375.75044133533254</v>
      </c>
      <c r="AB520">
        <v>369.89</v>
      </c>
      <c r="AC520">
        <v>3.9227696129999998</v>
      </c>
      <c r="AD520">
        <v>4.010324527864161</v>
      </c>
      <c r="AE520">
        <v>4.1015528925440856</v>
      </c>
      <c r="AF520">
        <v>4.1967086715492208</v>
      </c>
      <c r="AG520">
        <v>4.2960699434438592</v>
      </c>
      <c r="AH520">
        <v>4.3999418181603209</v>
      </c>
      <c r="AI520">
        <v>4.5086597881716166</v>
      </c>
      <c r="AJ520">
        <v>4.6225935907362929</v>
      </c>
      <c r="AK520">
        <v>4.7421516745424634</v>
      </c>
      <c r="AL520">
        <v>4.8677863840771396</v>
      </c>
      <c r="AM520">
        <v>5</v>
      </c>
    </row>
    <row r="521" spans="2:39">
      <c r="B521" t="s">
        <v>700</v>
      </c>
      <c r="C521" s="11" t="s">
        <v>1977</v>
      </c>
      <c r="D521" t="s">
        <v>176</v>
      </c>
      <c r="E521">
        <v>1.00332</v>
      </c>
      <c r="F521">
        <v>0.98055000000000003</v>
      </c>
      <c r="G521">
        <v>1</v>
      </c>
      <c r="H521">
        <v>1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</row>
    <row r="522" spans="2:39">
      <c r="B522" t="s">
        <v>701</v>
      </c>
      <c r="C522" s="11" t="s">
        <v>1978</v>
      </c>
      <c r="D522" t="s">
        <v>176</v>
      </c>
      <c r="E522">
        <v>1.02233</v>
      </c>
      <c r="F522">
        <v>0.92015000000000002</v>
      </c>
      <c r="G522">
        <v>1</v>
      </c>
      <c r="H522">
        <v>1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</row>
    <row r="523" spans="2:39">
      <c r="B523" t="s">
        <v>702</v>
      </c>
      <c r="C523" s="11" t="s">
        <v>1979</v>
      </c>
      <c r="D523" t="s">
        <v>176</v>
      </c>
      <c r="E523">
        <v>1</v>
      </c>
      <c r="F523">
        <v>1.004</v>
      </c>
      <c r="G523">
        <v>1</v>
      </c>
      <c r="H523">
        <v>1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</row>
    <row r="524" spans="2:39">
      <c r="B524" t="s">
        <v>703</v>
      </c>
      <c r="C524" s="11" t="s">
        <v>1980</v>
      </c>
      <c r="D524" t="s">
        <v>176</v>
      </c>
      <c r="E524">
        <v>1.02121</v>
      </c>
      <c r="F524">
        <v>0.92286000000000001</v>
      </c>
      <c r="G524">
        <v>1</v>
      </c>
      <c r="H524">
        <v>1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</row>
    <row r="525" spans="2:39" hidden="1">
      <c r="B525" t="s">
        <v>704</v>
      </c>
      <c r="C525" s="11" t="s">
        <v>1981</v>
      </c>
      <c r="D525" t="s">
        <v>168</v>
      </c>
      <c r="E525">
        <v>0.994364425</v>
      </c>
      <c r="F525">
        <v>1.0032695</v>
      </c>
      <c r="G525">
        <v>1.040459289</v>
      </c>
      <c r="H525">
        <v>0.99943211799999998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R525">
        <v>460.35</v>
      </c>
      <c r="S525">
        <v>450.76541102319982</v>
      </c>
      <c r="T525">
        <v>441.4490685308399</v>
      </c>
      <c r="U525">
        <v>432.34570229150108</v>
      </c>
      <c r="V525">
        <v>423.39979247012673</v>
      </c>
      <c r="W525">
        <v>414.55556821739782</v>
      </c>
      <c r="X525">
        <v>405.75700624953299</v>
      </c>
      <c r="Y525">
        <v>396.94782941843403</v>
      </c>
      <c r="Z525">
        <v>388.07150527210149</v>
      </c>
      <c r="AA525">
        <v>379.07124460524369</v>
      </c>
      <c r="AB525">
        <v>369.89</v>
      </c>
      <c r="AC525">
        <v>3.2709999999999999</v>
      </c>
      <c r="AD525">
        <v>3.3797418847051643</v>
      </c>
      <c r="AE525">
        <v>3.506150529175089</v>
      </c>
      <c r="AF525">
        <v>3.6499156252449709</v>
      </c>
      <c r="AG525">
        <v>3.8104786741768071</v>
      </c>
      <c r="AH525">
        <v>3.9868133725802841</v>
      </c>
      <c r="AI525">
        <v>4.177160055079491</v>
      </c>
      <c r="AJ525">
        <v>4.3787149952085587</v>
      </c>
      <c r="AK525">
        <v>4.5872916199476022</v>
      </c>
      <c r="AL525">
        <v>4.7969966795906052</v>
      </c>
      <c r="AM525">
        <v>5</v>
      </c>
    </row>
    <row r="526" spans="2:39" hidden="1">
      <c r="B526" t="s">
        <v>705</v>
      </c>
      <c r="C526" s="11" t="s">
        <v>1982</v>
      </c>
      <c r="D526" t="s">
        <v>168</v>
      </c>
      <c r="E526">
        <v>0.996484021</v>
      </c>
      <c r="F526">
        <v>1.008344412</v>
      </c>
      <c r="G526">
        <v>1.0449194310000001</v>
      </c>
      <c r="H526">
        <v>1.0199215129999999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R526">
        <v>469.65899999999999</v>
      </c>
      <c r="S526">
        <v>459.55967523216884</v>
      </c>
      <c r="T526">
        <v>449.58182825703932</v>
      </c>
      <c r="U526">
        <v>439.69028104317874</v>
      </c>
      <c r="V526">
        <v>429.84975650680576</v>
      </c>
      <c r="W526">
        <v>420.02487816291136</v>
      </c>
      <c r="X526">
        <v>410.18016977490572</v>
      </c>
      <c r="Y526">
        <v>400.28005500278158</v>
      </c>
      <c r="Z526">
        <v>390.2888570497866</v>
      </c>
      <c r="AA526">
        <v>380.1707983075994</v>
      </c>
      <c r="AB526">
        <v>369.89</v>
      </c>
      <c r="AC526">
        <v>3.2599099999999996</v>
      </c>
      <c r="AD526">
        <v>3.3566507605665641</v>
      </c>
      <c r="AE526">
        <v>3.4733487854275764</v>
      </c>
      <c r="AF526">
        <v>3.6096937386306456</v>
      </c>
      <c r="AG526">
        <v>3.7652859463477664</v>
      </c>
      <c r="AH526">
        <v>3.9394038932763062</v>
      </c>
      <c r="AI526">
        <v>4.1307222566533657</v>
      </c>
      <c r="AJ526">
        <v>4.3369707634775274</v>
      </c>
      <c r="AK526">
        <v>4.5545382850621179</v>
      </c>
      <c r="AL526">
        <v>4.778051871346185</v>
      </c>
      <c r="AM526">
        <v>5</v>
      </c>
    </row>
    <row r="527" spans="2:39">
      <c r="B527" t="s">
        <v>706</v>
      </c>
      <c r="C527" s="11" t="s">
        <v>1983</v>
      </c>
      <c r="D527" t="s">
        <v>176</v>
      </c>
      <c r="E527">
        <v>1.0046999999999999</v>
      </c>
      <c r="F527">
        <v>1.01447</v>
      </c>
      <c r="G527">
        <v>1</v>
      </c>
      <c r="H527">
        <v>1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</row>
    <row r="528" spans="2:39">
      <c r="B528" t="s">
        <v>707</v>
      </c>
      <c r="C528" s="11" t="s">
        <v>1984</v>
      </c>
      <c r="D528" t="s">
        <v>176</v>
      </c>
      <c r="E528">
        <v>1.003109639884</v>
      </c>
      <c r="F528">
        <v>1.0190999999999999</v>
      </c>
      <c r="G528">
        <v>1</v>
      </c>
      <c r="H528">
        <v>1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</row>
    <row r="529" spans="2:39">
      <c r="B529" t="s">
        <v>708</v>
      </c>
      <c r="C529" s="11" t="s">
        <v>1985</v>
      </c>
      <c r="D529" t="s">
        <v>176</v>
      </c>
      <c r="E529">
        <v>0.99888129999999997</v>
      </c>
      <c r="F529">
        <v>1.0349600000000001</v>
      </c>
      <c r="G529">
        <v>1</v>
      </c>
      <c r="H529">
        <v>1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</row>
    <row r="530" spans="2:39" hidden="1">
      <c r="B530" t="s">
        <v>709</v>
      </c>
      <c r="C530" s="11" t="s">
        <v>1986</v>
      </c>
      <c r="D530" t="s">
        <v>168</v>
      </c>
      <c r="E530">
        <v>0.99199999999999999</v>
      </c>
      <c r="F530">
        <v>0.92200000000000004</v>
      </c>
      <c r="G530">
        <v>1</v>
      </c>
      <c r="H530">
        <v>1</v>
      </c>
      <c r="I530">
        <v>2.7149999999999999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R530">
        <v>513.38</v>
      </c>
      <c r="S530">
        <v>491.3927781427185</v>
      </c>
      <c r="T530">
        <v>471.30716288278501</v>
      </c>
      <c r="U530">
        <v>453.04742864788369</v>
      </c>
      <c r="V530">
        <v>436.53736406391641</v>
      </c>
      <c r="W530">
        <v>421.7002680530419</v>
      </c>
      <c r="X530">
        <v>408.45894589404793</v>
      </c>
      <c r="Y530">
        <v>396.73570524462883</v>
      </c>
      <c r="Z530">
        <v>386.45235212513791</v>
      </c>
      <c r="AA530">
        <v>377.53018686337964</v>
      </c>
      <c r="AB530">
        <v>369.89</v>
      </c>
      <c r="AC530">
        <v>8.7851700000000008</v>
      </c>
      <c r="AD530">
        <v>8.2155029773029415</v>
      </c>
      <c r="AE530">
        <v>7.7056475765490839</v>
      </c>
      <c r="AF530">
        <v>7.2469150557701658</v>
      </c>
      <c r="AG530">
        <v>6.8322108925557057</v>
      </c>
      <c r="AH530">
        <v>6.4556857746857865</v>
      </c>
      <c r="AI530">
        <v>6.1124743935211718</v>
      </c>
      <c r="AJ530">
        <v>5.7984973093776677</v>
      </c>
      <c r="AK530">
        <v>5.5103088107812175</v>
      </c>
      <c r="AL530">
        <v>5.2449787773600072</v>
      </c>
      <c r="AM530">
        <v>5</v>
      </c>
    </row>
    <row r="531" spans="2:39" hidden="1">
      <c r="B531" t="s">
        <v>710</v>
      </c>
      <c r="C531" s="11" t="s">
        <v>1987</v>
      </c>
      <c r="D531" t="s">
        <v>168</v>
      </c>
      <c r="E531">
        <v>1</v>
      </c>
      <c r="F531">
        <v>1.025657518</v>
      </c>
      <c r="G531">
        <v>1</v>
      </c>
      <c r="H531">
        <v>1.0578725659999999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R531">
        <v>507.82</v>
      </c>
      <c r="S531">
        <v>495.04711596755777</v>
      </c>
      <c r="T531">
        <v>482.04753949788051</v>
      </c>
      <c r="U531">
        <v>468.82127059096808</v>
      </c>
      <c r="V531">
        <v>455.36830924682067</v>
      </c>
      <c r="W531">
        <v>441.68865546543822</v>
      </c>
      <c r="X531">
        <v>427.78230924682066</v>
      </c>
      <c r="Y531">
        <v>413.64927059096806</v>
      </c>
      <c r="Z531">
        <v>399.28953949788047</v>
      </c>
      <c r="AA531">
        <v>384.70311596755772</v>
      </c>
      <c r="AB531">
        <v>369.89</v>
      </c>
      <c r="AC531">
        <v>2.706</v>
      </c>
      <c r="AD531">
        <v>2.8254945047839723</v>
      </c>
      <c r="AE531">
        <v>2.9586074089946641</v>
      </c>
      <c r="AF531">
        <v>3.1077261902151512</v>
      </c>
      <c r="AG531">
        <v>3.2758337936248747</v>
      </c>
      <c r="AH531">
        <v>3.4667065029979161</v>
      </c>
      <c r="AI531">
        <v>3.6851963369888909</v>
      </c>
      <c r="AJ531">
        <v>3.9376433241187678</v>
      </c>
      <c r="AK531">
        <v>4.2324931302466053</v>
      </c>
      <c r="AL531">
        <v>4.5812501742005995</v>
      </c>
      <c r="AM531">
        <v>5</v>
      </c>
    </row>
    <row r="532" spans="2:39" hidden="1">
      <c r="B532" t="s">
        <v>711</v>
      </c>
      <c r="C532" s="11" t="s">
        <v>1988</v>
      </c>
      <c r="D532" t="s">
        <v>168</v>
      </c>
      <c r="E532">
        <v>1.016</v>
      </c>
      <c r="F532">
        <v>0.998</v>
      </c>
      <c r="G532">
        <v>1.0640000000000001</v>
      </c>
      <c r="H532">
        <v>0.96399999999999997</v>
      </c>
      <c r="I532">
        <v>1.1499999999999999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R532">
        <v>514.71</v>
      </c>
      <c r="S532">
        <v>499.99485030945601</v>
      </c>
      <c r="T532">
        <v>484.87922788632943</v>
      </c>
      <c r="U532">
        <v>469.53653202051021</v>
      </c>
      <c r="V532">
        <v>454.13795323330692</v>
      </c>
      <c r="W532">
        <v>438.85250833505586</v>
      </c>
      <c r="X532">
        <v>423.84707481712366</v>
      </c>
      <c r="Y532">
        <v>409.28642459299613</v>
      </c>
      <c r="Z532">
        <v>395.3332571027837</v>
      </c>
      <c r="AA532">
        <v>382.14823179510938</v>
      </c>
      <c r="AB532">
        <v>369.89</v>
      </c>
      <c r="AC532">
        <v>5.93</v>
      </c>
      <c r="AD532">
        <v>5.8106321519386386</v>
      </c>
      <c r="AE532">
        <v>5.723338778106343</v>
      </c>
      <c r="AF532">
        <v>5.655413992822659</v>
      </c>
      <c r="AG532">
        <v>5.5962460884886065</v>
      </c>
      <c r="AH532">
        <v>5.5366612443647689</v>
      </c>
      <c r="AI532">
        <v>5.4686759464432289</v>
      </c>
      <c r="AJ532">
        <v>5.3855219145124327</v>
      </c>
      <c r="AK532">
        <v>5.2818386348926127</v>
      </c>
      <c r="AL532">
        <v>5.1539324286603776</v>
      </c>
      <c r="AM532">
        <v>5</v>
      </c>
    </row>
    <row r="533" spans="2:39">
      <c r="B533" t="s">
        <v>712</v>
      </c>
      <c r="C533" s="11" t="s">
        <v>1989</v>
      </c>
      <c r="D533" t="s">
        <v>176</v>
      </c>
      <c r="E533">
        <v>1</v>
      </c>
      <c r="F533">
        <v>1.018</v>
      </c>
      <c r="G533">
        <v>1</v>
      </c>
      <c r="H533">
        <v>1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</row>
    <row r="534" spans="2:39">
      <c r="B534" t="s">
        <v>713</v>
      </c>
      <c r="C534" s="11" t="s">
        <v>1990</v>
      </c>
      <c r="D534" t="s">
        <v>176</v>
      </c>
      <c r="E534">
        <v>1.0023</v>
      </c>
      <c r="F534">
        <v>1.0349999999999999</v>
      </c>
      <c r="G534">
        <v>1</v>
      </c>
      <c r="H534">
        <v>1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</row>
    <row r="535" spans="2:39" hidden="1">
      <c r="B535" t="s">
        <v>714</v>
      </c>
      <c r="C535" s="11" t="s">
        <v>1991</v>
      </c>
      <c r="D535" t="s">
        <v>168</v>
      </c>
      <c r="E535">
        <v>1</v>
      </c>
      <c r="F535">
        <v>1.050044169</v>
      </c>
      <c r="G535">
        <v>1</v>
      </c>
      <c r="H535">
        <v>1.0796480530000001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R535">
        <v>540.20000000000005</v>
      </c>
      <c r="S535">
        <v>525.74863312072603</v>
      </c>
      <c r="T535">
        <v>510.72401443684646</v>
      </c>
      <c r="U535">
        <v>495.12614394836072</v>
      </c>
      <c r="V535">
        <v>478.95502165526943</v>
      </c>
      <c r="W535">
        <v>462.21064755757232</v>
      </c>
      <c r="X535">
        <v>444.89302165526942</v>
      </c>
      <c r="Y535">
        <v>427.00214394836075</v>
      </c>
      <c r="Z535">
        <v>408.53801443684625</v>
      </c>
      <c r="AA535">
        <v>389.50063312072604</v>
      </c>
      <c r="AB535">
        <v>369.89</v>
      </c>
      <c r="AC535">
        <v>2.33</v>
      </c>
      <c r="AD535">
        <v>2.4511460854354761</v>
      </c>
      <c r="AE535">
        <v>2.5881182642724125</v>
      </c>
      <c r="AF535">
        <v>2.7441571972238483</v>
      </c>
      <c r="AG535">
        <v>2.9234557638696095</v>
      </c>
      <c r="AH535">
        <v>3.1315364200307498</v>
      </c>
      <c r="AI535">
        <v>3.3758234614688103</v>
      </c>
      <c r="AJ535">
        <v>3.6665387042908466</v>
      </c>
      <c r="AK535">
        <v>4.018155999508445</v>
      </c>
      <c r="AL535">
        <v>4.4518685701496441</v>
      </c>
      <c r="AM535">
        <v>5</v>
      </c>
    </row>
    <row r="536" spans="2:39" hidden="1">
      <c r="B536" t="s">
        <v>715</v>
      </c>
      <c r="C536" s="11" t="s">
        <v>1992</v>
      </c>
      <c r="D536" t="s">
        <v>168</v>
      </c>
      <c r="E536">
        <v>1</v>
      </c>
      <c r="F536">
        <v>0.60034096100000001</v>
      </c>
      <c r="G536">
        <v>1</v>
      </c>
      <c r="H536">
        <v>1.0117597629999999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R536">
        <v>647.096</v>
      </c>
      <c r="S536">
        <v>580.71444728898439</v>
      </c>
      <c r="T536">
        <v>522.92421740263899</v>
      </c>
      <c r="U536">
        <v>473.72531034096352</v>
      </c>
      <c r="V536">
        <v>433.11772610395838</v>
      </c>
      <c r="W536">
        <v>401.10146469162328</v>
      </c>
      <c r="X536">
        <v>377.67652610395839</v>
      </c>
      <c r="Y536">
        <v>362.84291034096361</v>
      </c>
      <c r="Z536">
        <v>356.60061740263893</v>
      </c>
      <c r="AA536">
        <v>358.94964728898441</v>
      </c>
      <c r="AB536">
        <v>369.89</v>
      </c>
      <c r="AC536">
        <v>17.873727995599999</v>
      </c>
      <c r="AD536">
        <v>14.723268514648117</v>
      </c>
      <c r="AE536">
        <v>12.432839307291408</v>
      </c>
      <c r="AF536">
        <v>10.696859280023169</v>
      </c>
      <c r="AG536">
        <v>9.3388641600752926</v>
      </c>
      <c r="AH536">
        <v>8.2498580442180671</v>
      </c>
      <c r="AI536">
        <v>7.3589042882687137</v>
      </c>
      <c r="AJ536">
        <v>6.617863482243842</v>
      </c>
      <c r="AK536">
        <v>5.9929285377450388</v>
      </c>
      <c r="AL536">
        <v>5.4596694583115601</v>
      </c>
      <c r="AM536">
        <v>5</v>
      </c>
    </row>
    <row r="537" spans="2:39">
      <c r="B537" t="s">
        <v>716</v>
      </c>
      <c r="C537" s="11" t="s">
        <v>1993</v>
      </c>
      <c r="D537" t="s">
        <v>176</v>
      </c>
      <c r="E537">
        <v>1</v>
      </c>
      <c r="F537">
        <v>1.06</v>
      </c>
      <c r="G537">
        <v>1</v>
      </c>
      <c r="H537">
        <v>1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</row>
    <row r="538" spans="2:39">
      <c r="B538" t="s">
        <v>717</v>
      </c>
      <c r="C538" s="11" t="s">
        <v>1994</v>
      </c>
      <c r="D538" t="s">
        <v>176</v>
      </c>
      <c r="E538">
        <v>1</v>
      </c>
      <c r="F538">
        <v>1.0489999999999999</v>
      </c>
      <c r="G538">
        <v>1</v>
      </c>
      <c r="H538">
        <v>1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</row>
    <row r="539" spans="2:39" hidden="1">
      <c r="B539" t="s">
        <v>718</v>
      </c>
      <c r="C539" s="11" t="s">
        <v>1995</v>
      </c>
      <c r="D539" t="s">
        <v>168</v>
      </c>
      <c r="E539">
        <v>1</v>
      </c>
      <c r="F539">
        <v>1.0636941289999999</v>
      </c>
      <c r="G539">
        <v>1</v>
      </c>
      <c r="H539">
        <v>1.1027646120000001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R539">
        <v>568.74</v>
      </c>
      <c r="S539">
        <v>552.19607901967447</v>
      </c>
      <c r="T539">
        <v>534.90969603497683</v>
      </c>
      <c r="U539">
        <v>516.88085104590698</v>
      </c>
      <c r="V539">
        <v>498.1095440524652</v>
      </c>
      <c r="W539">
        <v>478.5957750546512</v>
      </c>
      <c r="X539">
        <v>458.33954405246516</v>
      </c>
      <c r="Y539">
        <v>437.34085104590702</v>
      </c>
      <c r="Z539">
        <v>415.59969603497683</v>
      </c>
      <c r="AA539">
        <v>393.11607901967449</v>
      </c>
      <c r="AB539">
        <v>369.89</v>
      </c>
      <c r="AC539">
        <v>2.0310000000000001</v>
      </c>
      <c r="AD539">
        <v>2.1494176201506741</v>
      </c>
      <c r="AE539">
        <v>2.2849453128417374</v>
      </c>
      <c r="AF539">
        <v>2.4415070164055073</v>
      </c>
      <c r="AG539">
        <v>2.6243283512555275</v>
      </c>
      <c r="AH539">
        <v>2.8405250773835942</v>
      </c>
      <c r="AI539">
        <v>3.1000425221930565</v>
      </c>
      <c r="AJ539">
        <v>3.4172171488527829</v>
      </c>
      <c r="AK539">
        <v>3.8135005881025226</v>
      </c>
      <c r="AL539">
        <v>4.3224987234949497</v>
      </c>
      <c r="AM539">
        <v>5</v>
      </c>
    </row>
    <row r="540" spans="2:39">
      <c r="B540" t="s">
        <v>719</v>
      </c>
      <c r="C540" s="11" t="s">
        <v>1996</v>
      </c>
      <c r="D540" t="s">
        <v>176</v>
      </c>
      <c r="E540">
        <v>0.99655190000000005</v>
      </c>
      <c r="F540">
        <v>1.0836300000000001</v>
      </c>
      <c r="G540">
        <v>1</v>
      </c>
      <c r="H540">
        <v>1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</row>
    <row r="541" spans="2:39" hidden="1">
      <c r="B541" t="s">
        <v>720</v>
      </c>
      <c r="C541" s="11" t="s">
        <v>1997</v>
      </c>
      <c r="D541" t="s">
        <v>168</v>
      </c>
      <c r="E541">
        <v>1</v>
      </c>
      <c r="F541">
        <v>1.109973833</v>
      </c>
      <c r="G541">
        <v>1</v>
      </c>
      <c r="H541">
        <v>1.1997691340000001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R541">
        <v>594.54999999999995</v>
      </c>
      <c r="S541">
        <v>578.97925267076448</v>
      </c>
      <c r="T541">
        <v>561.87622697024813</v>
      </c>
      <c r="U541">
        <v>543.24092289845055</v>
      </c>
      <c r="V541">
        <v>523.07334045537209</v>
      </c>
      <c r="W541">
        <v>501.37347964101264</v>
      </c>
      <c r="X541">
        <v>478.14134045537207</v>
      </c>
      <c r="Y541">
        <v>453.37692289845052</v>
      </c>
      <c r="Z541">
        <v>427.08022697024808</v>
      </c>
      <c r="AA541">
        <v>399.25125267076453</v>
      </c>
      <c r="AB541">
        <v>369.89</v>
      </c>
      <c r="AC541">
        <v>1.8099999999999998</v>
      </c>
      <c r="AD541">
        <v>1.906791420978049</v>
      </c>
      <c r="AE541">
        <v>2.0210372882758518</v>
      </c>
      <c r="AF541">
        <v>2.1572700475360183</v>
      </c>
      <c r="AG541">
        <v>2.3217940534149935</v>
      </c>
      <c r="AH541">
        <v>2.5236388774714529</v>
      </c>
      <c r="AI541">
        <v>2.7762031750255898</v>
      </c>
      <c r="AJ541">
        <v>3.1002526994610999</v>
      </c>
      <c r="AK541">
        <v>3.5297808097226406</v>
      </c>
      <c r="AL541">
        <v>4.1245233235434888</v>
      </c>
      <c r="AM541">
        <v>5</v>
      </c>
    </row>
    <row r="542" spans="2:39">
      <c r="B542" t="s">
        <v>721</v>
      </c>
      <c r="C542" s="11" t="s">
        <v>1998</v>
      </c>
      <c r="D542" t="s">
        <v>176</v>
      </c>
      <c r="E542">
        <v>0.99486649999999999</v>
      </c>
      <c r="F542">
        <v>1.1094299999999999</v>
      </c>
      <c r="G542">
        <v>1</v>
      </c>
      <c r="H542">
        <v>1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</row>
    <row r="543" spans="2:39" hidden="1">
      <c r="B543" t="s">
        <v>722</v>
      </c>
      <c r="C543" s="11" t="s">
        <v>1999</v>
      </c>
      <c r="D543" t="s">
        <v>168</v>
      </c>
      <c r="E543">
        <v>0.98533123300000003</v>
      </c>
      <c r="F543">
        <v>1.140905252</v>
      </c>
      <c r="G543">
        <v>0.984104227</v>
      </c>
      <c r="H543">
        <v>1.053040574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R543">
        <v>617.70000000000005</v>
      </c>
      <c r="S543">
        <v>601.04132949173868</v>
      </c>
      <c r="T543">
        <v>583.0828662705826</v>
      </c>
      <c r="U543">
        <v>563.63906767791309</v>
      </c>
      <c r="V543">
        <v>542.52220420447532</v>
      </c>
      <c r="W543">
        <v>519.54232717672608</v>
      </c>
      <c r="X543">
        <v>494.50723586851086</v>
      </c>
      <c r="Y543">
        <v>467.22244402610937</v>
      </c>
      <c r="Z543">
        <v>437.49114579440811</v>
      </c>
      <c r="AA543">
        <v>405.11418103166079</v>
      </c>
      <c r="AB543">
        <v>369.89</v>
      </c>
      <c r="AC543">
        <v>1.6400000000000001</v>
      </c>
      <c r="AD543">
        <v>1.770847350228238</v>
      </c>
      <c r="AE543">
        <v>1.9196017537241392</v>
      </c>
      <c r="AF543">
        <v>2.0905907706843094</v>
      </c>
      <c r="AG543">
        <v>2.2897223375494899</v>
      </c>
      <c r="AH543">
        <v>2.52527262705518</v>
      </c>
      <c r="AI543">
        <v>2.8091952643108771</v>
      </c>
      <c r="AJ543">
        <v>3.1594044803049437</v>
      </c>
      <c r="AK543">
        <v>3.6039974913289439</v>
      </c>
      <c r="AL543">
        <v>4.1896553020534935</v>
      </c>
      <c r="AM543">
        <v>5</v>
      </c>
    </row>
    <row r="544" spans="2:39">
      <c r="B544" t="s">
        <v>723</v>
      </c>
      <c r="C544" s="11" t="s">
        <v>2000</v>
      </c>
      <c r="D544" t="s">
        <v>176</v>
      </c>
      <c r="E544">
        <v>1</v>
      </c>
      <c r="F544">
        <v>1.19</v>
      </c>
      <c r="G544">
        <v>1</v>
      </c>
      <c r="H544">
        <v>1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</row>
    <row r="545" spans="2:16">
      <c r="B545" t="s">
        <v>724</v>
      </c>
      <c r="C545" s="11" t="s">
        <v>2001</v>
      </c>
      <c r="D545" t="s">
        <v>176</v>
      </c>
      <c r="E545">
        <v>0.92154009999999997</v>
      </c>
      <c r="F545">
        <v>1.21332</v>
      </c>
      <c r="G545">
        <v>1</v>
      </c>
      <c r="H545">
        <v>1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</row>
    <row r="546" spans="2:16" hidden="1">
      <c r="B546" t="s">
        <v>725</v>
      </c>
      <c r="C546" s="11" t="s">
        <v>2002</v>
      </c>
      <c r="D546" t="s">
        <v>471</v>
      </c>
      <c r="E546">
        <v>1</v>
      </c>
      <c r="F546">
        <v>0.94532300000000002</v>
      </c>
      <c r="G546">
        <v>1</v>
      </c>
      <c r="H546">
        <v>1.0146614</v>
      </c>
      <c r="I546">
        <v>-1.0820000000000001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</row>
    <row r="547" spans="2:16">
      <c r="B547" t="s">
        <v>726</v>
      </c>
      <c r="C547" s="11" t="s">
        <v>2003</v>
      </c>
      <c r="D547" t="s">
        <v>176</v>
      </c>
      <c r="E547">
        <v>1</v>
      </c>
      <c r="F547">
        <v>0.88669679999999995</v>
      </c>
      <c r="G547">
        <v>1</v>
      </c>
      <c r="H547">
        <v>1.0293532999999999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</row>
    <row r="548" spans="2:16">
      <c r="B548" t="s">
        <v>727</v>
      </c>
      <c r="C548" s="11" t="s">
        <v>2004</v>
      </c>
      <c r="D548" t="s">
        <v>176</v>
      </c>
      <c r="E548">
        <v>1.0040865999999999</v>
      </c>
      <c r="F548">
        <v>0.96186000000000005</v>
      </c>
      <c r="G548">
        <v>1</v>
      </c>
      <c r="H548">
        <v>1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</row>
    <row r="549" spans="2:16">
      <c r="B549" t="s">
        <v>728</v>
      </c>
      <c r="C549" s="11" t="s">
        <v>2005</v>
      </c>
      <c r="D549" t="s">
        <v>176</v>
      </c>
      <c r="E549">
        <v>1</v>
      </c>
      <c r="F549">
        <v>0.97015039999999997</v>
      </c>
      <c r="G549">
        <v>1</v>
      </c>
      <c r="H549">
        <v>1.0056117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</row>
    <row r="550" spans="2:16">
      <c r="B550" t="s">
        <v>729</v>
      </c>
      <c r="C550" s="11" t="s">
        <v>2006</v>
      </c>
      <c r="D550" t="s">
        <v>176</v>
      </c>
      <c r="E550">
        <v>1</v>
      </c>
      <c r="F550">
        <v>0.99075409999999997</v>
      </c>
      <c r="G550">
        <v>1</v>
      </c>
      <c r="H550">
        <v>1.0032063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</row>
    <row r="551" spans="2:16">
      <c r="B551" t="s">
        <v>730</v>
      </c>
      <c r="C551" s="11" t="s">
        <v>2007</v>
      </c>
      <c r="D551" t="s">
        <v>176</v>
      </c>
      <c r="E551">
        <v>0.98530904218100002</v>
      </c>
      <c r="F551">
        <v>1.07125</v>
      </c>
      <c r="G551">
        <v>1</v>
      </c>
      <c r="H551">
        <v>1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</row>
    <row r="552" spans="2:16" hidden="1">
      <c r="B552" t="s">
        <v>731</v>
      </c>
      <c r="C552" s="11" t="s">
        <v>2008</v>
      </c>
      <c r="D552" t="s">
        <v>471</v>
      </c>
      <c r="E552">
        <v>1</v>
      </c>
      <c r="F552">
        <v>1.0167222</v>
      </c>
      <c r="G552">
        <v>1</v>
      </c>
      <c r="H552">
        <v>0.99616470000000001</v>
      </c>
      <c r="I552">
        <v>1.7170000000000001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</row>
    <row r="553" spans="2:16">
      <c r="B553" t="s">
        <v>732</v>
      </c>
      <c r="C553" s="11" t="s">
        <v>2009</v>
      </c>
      <c r="D553" t="s">
        <v>176</v>
      </c>
      <c r="E553">
        <v>1</v>
      </c>
      <c r="F553">
        <v>1.0004272999999999</v>
      </c>
      <c r="G553">
        <v>1</v>
      </c>
      <c r="H553">
        <v>1.0126149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</row>
    <row r="554" spans="2:16">
      <c r="B554" t="s">
        <v>733</v>
      </c>
      <c r="C554" s="11" t="s">
        <v>2010</v>
      </c>
      <c r="D554" t="s">
        <v>176</v>
      </c>
      <c r="E554">
        <v>1</v>
      </c>
      <c r="F554">
        <v>1.0050317</v>
      </c>
      <c r="G554">
        <v>1</v>
      </c>
      <c r="H554">
        <v>1.0080566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</row>
    <row r="555" spans="2:16">
      <c r="B555" t="s">
        <v>734</v>
      </c>
      <c r="C555" s="11" t="s">
        <v>2011</v>
      </c>
      <c r="D555" t="s">
        <v>176</v>
      </c>
      <c r="E555">
        <v>1.0526800000000001</v>
      </c>
      <c r="F555">
        <v>0.96965999999999997</v>
      </c>
      <c r="G555">
        <v>1</v>
      </c>
      <c r="H555">
        <v>1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</row>
    <row r="556" spans="2:16" hidden="1">
      <c r="B556" t="s">
        <v>735</v>
      </c>
      <c r="C556" s="11" t="s">
        <v>2012</v>
      </c>
      <c r="D556" t="s">
        <v>471</v>
      </c>
      <c r="E556">
        <v>1</v>
      </c>
      <c r="F556">
        <v>0.97125260000000002</v>
      </c>
      <c r="G556">
        <v>1</v>
      </c>
      <c r="H556">
        <v>1.0175958000000001</v>
      </c>
      <c r="I556">
        <v>-1.0109999999999999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</row>
    <row r="557" spans="2:16">
      <c r="B557" t="s">
        <v>736</v>
      </c>
      <c r="C557" s="11" t="s">
        <v>2013</v>
      </c>
      <c r="D557" t="s">
        <v>176</v>
      </c>
      <c r="E557">
        <v>1</v>
      </c>
      <c r="F557">
        <v>0.97518649999999996</v>
      </c>
      <c r="G557">
        <v>1</v>
      </c>
      <c r="H557">
        <v>1.0137560999999999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</row>
    <row r="558" spans="2:16">
      <c r="B558" t="s">
        <v>737</v>
      </c>
      <c r="C558" s="11" t="s">
        <v>2014</v>
      </c>
      <c r="D558" t="s">
        <v>176</v>
      </c>
      <c r="E558">
        <v>1.005207</v>
      </c>
      <c r="F558">
        <v>1.0127699999999999</v>
      </c>
      <c r="G558">
        <v>1</v>
      </c>
      <c r="H558">
        <v>1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</row>
    <row r="559" spans="2:16">
      <c r="B559" t="s">
        <v>738</v>
      </c>
      <c r="C559" s="11" t="s">
        <v>2015</v>
      </c>
      <c r="D559" t="s">
        <v>176</v>
      </c>
      <c r="E559">
        <v>1</v>
      </c>
      <c r="F559">
        <v>0.95694849999999998</v>
      </c>
      <c r="G559">
        <v>1</v>
      </c>
      <c r="H559">
        <v>1.0331870999999999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</row>
    <row r="560" spans="2:16">
      <c r="B560" t="s">
        <v>739</v>
      </c>
      <c r="C560" s="11" t="s">
        <v>2016</v>
      </c>
      <c r="D560" t="s">
        <v>176</v>
      </c>
      <c r="E560">
        <v>1</v>
      </c>
      <c r="F560">
        <v>0.97744500000000001</v>
      </c>
      <c r="G560">
        <v>1</v>
      </c>
      <c r="H560">
        <v>1.0412243000000001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</row>
    <row r="561" spans="2:16">
      <c r="B561" t="s">
        <v>740</v>
      </c>
      <c r="C561" s="11" t="s">
        <v>2017</v>
      </c>
      <c r="D561" t="s">
        <v>176</v>
      </c>
      <c r="E561">
        <v>0.95551138969600002</v>
      </c>
      <c r="F561">
        <v>1.0798099999999999</v>
      </c>
      <c r="G561">
        <v>1</v>
      </c>
      <c r="H561">
        <v>1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</row>
    <row r="562" spans="2:16">
      <c r="B562" t="s">
        <v>741</v>
      </c>
      <c r="C562" s="11" t="s">
        <v>2018</v>
      </c>
      <c r="D562" t="s">
        <v>176</v>
      </c>
      <c r="E562">
        <v>0.99738684646200004</v>
      </c>
      <c r="F562">
        <v>1.0375099999999999</v>
      </c>
      <c r="G562">
        <v>1</v>
      </c>
      <c r="H562">
        <v>1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</row>
    <row r="563" spans="2:16">
      <c r="B563" t="s">
        <v>742</v>
      </c>
      <c r="C563" s="11" t="s">
        <v>2019</v>
      </c>
      <c r="D563" t="s">
        <v>176</v>
      </c>
      <c r="E563">
        <v>1.010866818297</v>
      </c>
      <c r="F563">
        <v>0.99578999999999995</v>
      </c>
      <c r="G563">
        <v>1</v>
      </c>
      <c r="H563">
        <v>1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</row>
    <row r="564" spans="2:16">
      <c r="B564" t="s">
        <v>743</v>
      </c>
      <c r="C564" s="11" t="s">
        <v>2020</v>
      </c>
      <c r="D564" t="s">
        <v>176</v>
      </c>
      <c r="E564">
        <v>1.0063095609470001</v>
      </c>
      <c r="F564">
        <v>1.0505800000000001</v>
      </c>
      <c r="G564">
        <v>1</v>
      </c>
      <c r="H564">
        <v>1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</row>
    <row r="565" spans="2:16">
      <c r="B565" t="s">
        <v>744</v>
      </c>
      <c r="C565" s="11" t="s">
        <v>2021</v>
      </c>
      <c r="D565" t="s">
        <v>176</v>
      </c>
      <c r="E565">
        <v>0.98951118147600003</v>
      </c>
      <c r="F565">
        <v>1.0349600000000001</v>
      </c>
      <c r="G565">
        <v>1</v>
      </c>
      <c r="H565">
        <v>1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</row>
    <row r="566" spans="2:16">
      <c r="B566" t="s">
        <v>745</v>
      </c>
      <c r="C566" s="11" t="s">
        <v>2022</v>
      </c>
      <c r="D566" t="s">
        <v>176</v>
      </c>
      <c r="E566">
        <v>1.0091428340769999</v>
      </c>
      <c r="F566">
        <v>0.97638000000000003</v>
      </c>
      <c r="G566">
        <v>1</v>
      </c>
      <c r="H566">
        <v>1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</row>
    <row r="567" spans="2:16">
      <c r="B567" t="s">
        <v>746</v>
      </c>
      <c r="C567" s="11" t="s">
        <v>2023</v>
      </c>
      <c r="D567" t="s">
        <v>176</v>
      </c>
      <c r="E567">
        <v>1</v>
      </c>
      <c r="F567">
        <v>1.0008497000000001</v>
      </c>
      <c r="G567">
        <v>1</v>
      </c>
      <c r="H567">
        <v>1.0021192000000001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</row>
    <row r="568" spans="2:16">
      <c r="B568" t="s">
        <v>747</v>
      </c>
      <c r="C568" s="11" t="s">
        <v>2024</v>
      </c>
      <c r="D568" t="s">
        <v>176</v>
      </c>
      <c r="E568">
        <v>1.0021948000000001</v>
      </c>
      <c r="F568">
        <v>0.98828000000000005</v>
      </c>
      <c r="G568">
        <v>1</v>
      </c>
      <c r="H568">
        <v>1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</row>
    <row r="569" spans="2:16">
      <c r="B569" t="s">
        <v>748</v>
      </c>
      <c r="C569" s="11" t="s">
        <v>2025</v>
      </c>
      <c r="D569" t="s">
        <v>176</v>
      </c>
      <c r="E569">
        <v>0.99899101907099996</v>
      </c>
      <c r="F569">
        <v>1.0061899999999999</v>
      </c>
      <c r="G569">
        <v>1</v>
      </c>
      <c r="H569">
        <v>1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</row>
    <row r="570" spans="2:16">
      <c r="B570" t="s">
        <v>749</v>
      </c>
      <c r="C570" s="11" t="s">
        <v>2026</v>
      </c>
      <c r="D570" t="s">
        <v>176</v>
      </c>
      <c r="E570">
        <v>1.00966</v>
      </c>
      <c r="F570">
        <v>1.0245599999999999</v>
      </c>
      <c r="G570">
        <v>1</v>
      </c>
      <c r="H570">
        <v>1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</row>
    <row r="571" spans="2:16">
      <c r="B571" t="s">
        <v>750</v>
      </c>
      <c r="C571" s="11" t="s">
        <v>2027</v>
      </c>
      <c r="D571" t="s">
        <v>176</v>
      </c>
      <c r="E571">
        <v>1</v>
      </c>
      <c r="F571">
        <v>0.92011140000000002</v>
      </c>
      <c r="G571">
        <v>1</v>
      </c>
      <c r="H571">
        <v>1.0132426000000001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</row>
    <row r="572" spans="2:16">
      <c r="B572" t="s">
        <v>751</v>
      </c>
      <c r="C572" s="11" t="s">
        <v>2028</v>
      </c>
      <c r="D572" t="s">
        <v>176</v>
      </c>
      <c r="E572">
        <v>1</v>
      </c>
      <c r="F572">
        <v>0.89685919999999997</v>
      </c>
      <c r="G572">
        <v>1</v>
      </c>
      <c r="H572">
        <v>1.0018693000000001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</row>
    <row r="573" spans="2:16">
      <c r="B573" t="s">
        <v>752</v>
      </c>
      <c r="C573" s="11" t="s">
        <v>2029</v>
      </c>
      <c r="D573" t="s">
        <v>176</v>
      </c>
      <c r="E573">
        <v>1.00386</v>
      </c>
      <c r="F573">
        <v>1.0424800000000001</v>
      </c>
      <c r="G573">
        <v>1</v>
      </c>
      <c r="H573">
        <v>1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</row>
    <row r="574" spans="2:16">
      <c r="B574" t="s">
        <v>753</v>
      </c>
      <c r="C574" s="11" t="s">
        <v>2030</v>
      </c>
      <c r="D574" t="s">
        <v>176</v>
      </c>
      <c r="E574">
        <v>1.055547</v>
      </c>
      <c r="F574">
        <v>0.93523199999999995</v>
      </c>
      <c r="G574">
        <v>1</v>
      </c>
      <c r="H574">
        <v>1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</row>
    <row r="575" spans="2:16" hidden="1">
      <c r="B575" t="s">
        <v>754</v>
      </c>
      <c r="C575" s="11" t="s">
        <v>2031</v>
      </c>
      <c r="D575" t="s">
        <v>172</v>
      </c>
      <c r="E575">
        <v>0.96030000000000004</v>
      </c>
      <c r="F575">
        <v>0.97240000000000004</v>
      </c>
      <c r="G575">
        <v>0.80830000000000002</v>
      </c>
      <c r="H575">
        <v>0.52100000000000002</v>
      </c>
      <c r="I575">
        <v>-1.206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</row>
    <row r="576" spans="2:16">
      <c r="B576" t="s">
        <v>755</v>
      </c>
      <c r="C576" s="11" t="s">
        <v>2032</v>
      </c>
      <c r="D576" t="s">
        <v>176</v>
      </c>
      <c r="E576">
        <v>1.0069600068710001</v>
      </c>
      <c r="F576">
        <v>0.94154000000000004</v>
      </c>
      <c r="G576">
        <v>1</v>
      </c>
      <c r="H576">
        <v>1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</row>
    <row r="577" spans="2:39">
      <c r="B577" t="s">
        <v>756</v>
      </c>
      <c r="C577" s="11" t="s">
        <v>2033</v>
      </c>
      <c r="D577" t="s">
        <v>176</v>
      </c>
      <c r="E577">
        <v>1.0486577181209999</v>
      </c>
      <c r="F577">
        <v>0.79859999999999998</v>
      </c>
      <c r="G577">
        <v>1</v>
      </c>
      <c r="H577">
        <v>1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</row>
    <row r="578" spans="2:39">
      <c r="B578" t="s">
        <v>757</v>
      </c>
      <c r="C578" s="11" t="s">
        <v>2034</v>
      </c>
      <c r="D578" t="s">
        <v>176</v>
      </c>
      <c r="E578">
        <v>1.0556317956300001</v>
      </c>
      <c r="F578">
        <v>0.80669999999999997</v>
      </c>
      <c r="G578">
        <v>1</v>
      </c>
      <c r="H578">
        <v>1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</row>
    <row r="579" spans="2:39">
      <c r="B579" t="s">
        <v>758</v>
      </c>
      <c r="C579" s="11" t="s">
        <v>2035</v>
      </c>
      <c r="D579" t="s">
        <v>176</v>
      </c>
      <c r="E579">
        <v>1.1061946902649999</v>
      </c>
      <c r="F579">
        <v>0.83850000000000002</v>
      </c>
      <c r="G579">
        <v>1</v>
      </c>
      <c r="H579">
        <v>1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</row>
    <row r="580" spans="2:39">
      <c r="B580" t="s">
        <v>759</v>
      </c>
      <c r="C580" s="11" t="s">
        <v>2036</v>
      </c>
      <c r="D580" t="s">
        <v>176</v>
      </c>
      <c r="E580">
        <v>1.161980013944</v>
      </c>
      <c r="F580">
        <v>0.87019999999999997</v>
      </c>
      <c r="G580">
        <v>1</v>
      </c>
      <c r="H580">
        <v>1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</row>
    <row r="581" spans="2:39">
      <c r="B581" t="s">
        <v>760</v>
      </c>
      <c r="C581" s="11" t="s">
        <v>2037</v>
      </c>
      <c r="D581" t="s">
        <v>176</v>
      </c>
      <c r="E581">
        <v>0.98699999999999999</v>
      </c>
      <c r="F581">
        <v>1.117</v>
      </c>
      <c r="G581">
        <v>1</v>
      </c>
      <c r="H581">
        <v>1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</row>
    <row r="582" spans="2:39">
      <c r="B582" t="s">
        <v>761</v>
      </c>
      <c r="C582" s="11" t="s">
        <v>2038</v>
      </c>
      <c r="D582" t="s">
        <v>176</v>
      </c>
      <c r="E582">
        <v>1.1304544426859999</v>
      </c>
      <c r="F582">
        <v>0.87760000000000005</v>
      </c>
      <c r="G582">
        <v>1</v>
      </c>
      <c r="H582">
        <v>1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</row>
    <row r="583" spans="2:39">
      <c r="B583" t="s">
        <v>762</v>
      </c>
      <c r="C583" s="11" t="s">
        <v>2039</v>
      </c>
      <c r="D583" t="s">
        <v>176</v>
      </c>
      <c r="E583">
        <v>1</v>
      </c>
      <c r="F583">
        <v>1.101</v>
      </c>
      <c r="G583">
        <v>1</v>
      </c>
      <c r="H583">
        <v>1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</row>
    <row r="584" spans="2:39">
      <c r="B584" t="s">
        <v>763</v>
      </c>
      <c r="C584" s="11" t="s">
        <v>2040</v>
      </c>
      <c r="D584" t="s">
        <v>176</v>
      </c>
      <c r="E584">
        <v>1.0296540362440001</v>
      </c>
      <c r="F584">
        <v>0.92989999999999995</v>
      </c>
      <c r="G584">
        <v>1</v>
      </c>
      <c r="H584">
        <v>1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</row>
    <row r="585" spans="2:39" hidden="1">
      <c r="B585" t="s">
        <v>764</v>
      </c>
      <c r="C585" s="11" t="s">
        <v>2041</v>
      </c>
      <c r="D585" t="s">
        <v>168</v>
      </c>
      <c r="E585">
        <v>1.107297087809</v>
      </c>
      <c r="F585">
        <v>0.83950000000000002</v>
      </c>
      <c r="G585">
        <v>1</v>
      </c>
      <c r="H585">
        <v>1.3341000000000001</v>
      </c>
      <c r="I585">
        <v>-8.9969999999999994E-2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R585">
        <v>553.6</v>
      </c>
      <c r="S585">
        <v>530.00210903105653</v>
      </c>
      <c r="T585">
        <v>505.37677382672393</v>
      </c>
      <c r="U585">
        <v>481.00783810752608</v>
      </c>
      <c r="V585">
        <v>458.07266192899237</v>
      </c>
      <c r="W585">
        <v>437.65293728342181</v>
      </c>
      <c r="X585">
        <v>420.74421169204714</v>
      </c>
      <c r="Y585">
        <v>408.26429633684779</v>
      </c>
      <c r="Z585">
        <v>401.06070823783193</v>
      </c>
      <c r="AA585">
        <v>399.91727351088412</v>
      </c>
      <c r="AB585">
        <v>405.56</v>
      </c>
      <c r="AC585">
        <v>3.2240000000000002</v>
      </c>
      <c r="AD585">
        <v>3.4320838269658145</v>
      </c>
      <c r="AE585">
        <v>3.6836287181602949</v>
      </c>
      <c r="AF585">
        <v>3.9922789434977055</v>
      </c>
      <c r="AG585">
        <v>4.3782003938890446</v>
      </c>
      <c r="AH585">
        <v>4.8724874014625357</v>
      </c>
      <c r="AI585">
        <v>5.525704141474824</v>
      </c>
      <c r="AJ585">
        <v>6.4259246318419443</v>
      </c>
      <c r="AK585">
        <v>7.7413979885195161</v>
      </c>
      <c r="AL585">
        <v>9.8386044033664977</v>
      </c>
      <c r="AM585">
        <v>13.696</v>
      </c>
    </row>
    <row r="586" spans="2:39">
      <c r="B586" t="s">
        <v>765</v>
      </c>
      <c r="C586" s="11" t="s">
        <v>2042</v>
      </c>
      <c r="D586" t="s">
        <v>176</v>
      </c>
      <c r="E586">
        <v>1.178828244725</v>
      </c>
      <c r="F586">
        <v>0.97260000000000002</v>
      </c>
      <c r="G586">
        <v>1</v>
      </c>
      <c r="H586">
        <v>1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</row>
    <row r="587" spans="2:39" hidden="1">
      <c r="B587" t="s">
        <v>766</v>
      </c>
      <c r="C587" s="11" t="s">
        <v>2043</v>
      </c>
    </row>
    <row r="588" spans="2:39">
      <c r="B588" t="s">
        <v>767</v>
      </c>
      <c r="C588" s="11" t="s">
        <v>2044</v>
      </c>
      <c r="D588" t="s">
        <v>176</v>
      </c>
      <c r="E588">
        <v>1.231678778175</v>
      </c>
      <c r="F588">
        <v>1.0676000000000001</v>
      </c>
      <c r="G588">
        <v>1</v>
      </c>
      <c r="H588">
        <v>1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</row>
    <row r="589" spans="2:39">
      <c r="B589" t="s">
        <v>768</v>
      </c>
      <c r="C589" s="11" t="s">
        <v>2045</v>
      </c>
      <c r="D589" t="s">
        <v>176</v>
      </c>
      <c r="E589">
        <v>1.042500015116</v>
      </c>
      <c r="F589">
        <v>0.95718999999999999</v>
      </c>
      <c r="G589">
        <v>1</v>
      </c>
      <c r="H589">
        <v>1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</row>
    <row r="590" spans="2:39">
      <c r="B590" t="s">
        <v>769</v>
      </c>
      <c r="C590" s="11" t="s">
        <v>2046</v>
      </c>
      <c r="D590" t="s">
        <v>176</v>
      </c>
      <c r="E590">
        <v>1.01623</v>
      </c>
      <c r="F590">
        <v>0.91325000000000001</v>
      </c>
      <c r="G590">
        <v>1</v>
      </c>
      <c r="H590">
        <v>1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</row>
    <row r="591" spans="2:39">
      <c r="B591" t="s">
        <v>770</v>
      </c>
      <c r="C591" s="11" t="s">
        <v>2047</v>
      </c>
      <c r="D591" t="s">
        <v>176</v>
      </c>
      <c r="E591">
        <v>1.0003601296469999</v>
      </c>
      <c r="F591">
        <v>0.97941999999999996</v>
      </c>
      <c r="G591">
        <v>1</v>
      </c>
      <c r="H591">
        <v>1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</row>
    <row r="592" spans="2:39">
      <c r="B592" t="s">
        <v>771</v>
      </c>
      <c r="C592" s="11" t="s">
        <v>2048</v>
      </c>
      <c r="D592" t="s">
        <v>176</v>
      </c>
      <c r="E592">
        <v>0.98296521286100003</v>
      </c>
      <c r="F592">
        <v>0.92312000000000005</v>
      </c>
      <c r="G592">
        <v>1</v>
      </c>
      <c r="H592">
        <v>1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</row>
    <row r="593" spans="2:16">
      <c r="B593" t="s">
        <v>772</v>
      </c>
      <c r="C593" s="11" t="s">
        <v>2049</v>
      </c>
      <c r="D593" t="s">
        <v>176</v>
      </c>
      <c r="E593">
        <v>1.00387</v>
      </c>
      <c r="F593">
        <v>1.0043299999999999</v>
      </c>
      <c r="G593">
        <v>1</v>
      </c>
      <c r="H593">
        <v>1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</row>
    <row r="594" spans="2:16">
      <c r="B594" t="s">
        <v>773</v>
      </c>
      <c r="C594" s="11" t="s">
        <v>2050</v>
      </c>
      <c r="D594" t="s">
        <v>176</v>
      </c>
      <c r="E594">
        <v>1.0049399834770001</v>
      </c>
      <c r="F594">
        <v>0.97467000000000004</v>
      </c>
      <c r="G594">
        <v>1</v>
      </c>
      <c r="H594">
        <v>1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</row>
    <row r="595" spans="2:16">
      <c r="B595" t="s">
        <v>774</v>
      </c>
      <c r="C595" s="11" t="s">
        <v>2051</v>
      </c>
      <c r="D595" t="s">
        <v>176</v>
      </c>
      <c r="E595">
        <v>1</v>
      </c>
      <c r="F595">
        <v>0.94043739999999998</v>
      </c>
      <c r="G595">
        <v>1</v>
      </c>
      <c r="H595">
        <v>1.0003354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</row>
    <row r="596" spans="2:16">
      <c r="B596" t="s">
        <v>775</v>
      </c>
      <c r="C596" s="11" t="s">
        <v>2052</v>
      </c>
      <c r="D596" t="s">
        <v>176</v>
      </c>
      <c r="E596">
        <v>1</v>
      </c>
      <c r="F596">
        <v>0.94258299999999995</v>
      </c>
      <c r="G596">
        <v>1</v>
      </c>
      <c r="H596">
        <v>1.0025770000000001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</row>
    <row r="597" spans="2:16">
      <c r="B597" t="s">
        <v>776</v>
      </c>
      <c r="C597" s="11" t="s">
        <v>2053</v>
      </c>
      <c r="D597" t="s">
        <v>176</v>
      </c>
      <c r="E597">
        <v>1</v>
      </c>
      <c r="F597">
        <v>0.97773209999999999</v>
      </c>
      <c r="G597">
        <v>1</v>
      </c>
      <c r="H597">
        <v>1.0002214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</row>
    <row r="598" spans="2:16">
      <c r="B598" t="s">
        <v>777</v>
      </c>
      <c r="C598" s="11" t="s">
        <v>2054</v>
      </c>
      <c r="D598" t="s">
        <v>176</v>
      </c>
      <c r="E598">
        <v>1.0022599999999999</v>
      </c>
      <c r="F598">
        <v>0.96906999999999999</v>
      </c>
      <c r="G598">
        <v>1</v>
      </c>
      <c r="H598">
        <v>1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</row>
    <row r="599" spans="2:16">
      <c r="B599" t="s">
        <v>778</v>
      </c>
      <c r="C599" s="11" t="s">
        <v>2055</v>
      </c>
      <c r="D599" t="s">
        <v>176</v>
      </c>
      <c r="E599">
        <v>1</v>
      </c>
      <c r="F599">
        <v>0.99834049999999996</v>
      </c>
      <c r="G599">
        <v>1</v>
      </c>
      <c r="H599">
        <v>1.0085162000000001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</row>
    <row r="600" spans="2:16">
      <c r="B600" t="s">
        <v>779</v>
      </c>
      <c r="C600" s="11" t="s">
        <v>2056</v>
      </c>
      <c r="D600" t="s">
        <v>176</v>
      </c>
      <c r="E600">
        <v>1</v>
      </c>
      <c r="F600">
        <v>1.0044592999999999</v>
      </c>
      <c r="G600">
        <v>1</v>
      </c>
      <c r="H600">
        <v>1.0018062000000001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</row>
    <row r="601" spans="2:16">
      <c r="B601" t="s">
        <v>780</v>
      </c>
      <c r="C601" s="11" t="s">
        <v>2057</v>
      </c>
      <c r="D601" t="s">
        <v>176</v>
      </c>
      <c r="E601">
        <v>1.00432865651</v>
      </c>
      <c r="F601">
        <v>1.0278700000000001</v>
      </c>
      <c r="G601">
        <v>1</v>
      </c>
      <c r="H601">
        <v>1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</row>
    <row r="602" spans="2:16">
      <c r="B602" t="s">
        <v>781</v>
      </c>
      <c r="C602" s="11" t="s">
        <v>2058</v>
      </c>
      <c r="D602" t="s">
        <v>176</v>
      </c>
      <c r="E602">
        <v>1</v>
      </c>
      <c r="F602">
        <v>1.0301898</v>
      </c>
      <c r="G602">
        <v>1</v>
      </c>
      <c r="H602">
        <v>1.0165841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</row>
    <row r="603" spans="2:16">
      <c r="B603" t="s">
        <v>782</v>
      </c>
      <c r="C603" s="11" t="s">
        <v>2059</v>
      </c>
      <c r="D603" t="s">
        <v>176</v>
      </c>
      <c r="E603">
        <v>1.03850787189</v>
      </c>
      <c r="F603">
        <v>0.98899999999999999</v>
      </c>
      <c r="G603">
        <v>1</v>
      </c>
      <c r="H603">
        <v>1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</row>
    <row r="604" spans="2:16">
      <c r="B604" t="s">
        <v>783</v>
      </c>
      <c r="C604" s="11" t="s">
        <v>2060</v>
      </c>
      <c r="D604" t="s">
        <v>176</v>
      </c>
      <c r="E604">
        <v>1.0119204225780001</v>
      </c>
      <c r="F604">
        <v>1.0338799999999999</v>
      </c>
      <c r="G604">
        <v>1</v>
      </c>
      <c r="H604">
        <v>1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</row>
    <row r="605" spans="2:16">
      <c r="B605" t="s">
        <v>784</v>
      </c>
      <c r="C605" s="11" t="s">
        <v>2061</v>
      </c>
      <c r="D605" t="s">
        <v>176</v>
      </c>
      <c r="E605">
        <v>1.0034820828269999</v>
      </c>
      <c r="F605">
        <v>1.06084</v>
      </c>
      <c r="G605">
        <v>1</v>
      </c>
      <c r="H605">
        <v>1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</row>
    <row r="606" spans="2:16">
      <c r="B606" t="s">
        <v>785</v>
      </c>
      <c r="C606" s="11" t="s">
        <v>2062</v>
      </c>
      <c r="D606" t="s">
        <v>176</v>
      </c>
      <c r="E606">
        <v>1</v>
      </c>
      <c r="F606">
        <v>0.98499999999999999</v>
      </c>
      <c r="G606">
        <v>1</v>
      </c>
      <c r="H606">
        <v>1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</row>
    <row r="607" spans="2:16">
      <c r="B607" t="s">
        <v>786</v>
      </c>
      <c r="C607" s="11" t="s">
        <v>2063</v>
      </c>
      <c r="D607" t="s">
        <v>176</v>
      </c>
      <c r="E607">
        <v>0.99630004053900001</v>
      </c>
      <c r="F607">
        <v>0.98111999999999999</v>
      </c>
      <c r="G607">
        <v>1</v>
      </c>
      <c r="H607">
        <v>1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</row>
    <row r="608" spans="2:16">
      <c r="B608" t="s">
        <v>787</v>
      </c>
      <c r="C608" s="11" t="s">
        <v>2064</v>
      </c>
      <c r="D608" t="s">
        <v>176</v>
      </c>
      <c r="E608">
        <v>1</v>
      </c>
      <c r="F608">
        <v>0.98699999999999999</v>
      </c>
      <c r="G608">
        <v>1</v>
      </c>
      <c r="H608">
        <v>1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</row>
    <row r="609" spans="2:16">
      <c r="B609" t="s">
        <v>788</v>
      </c>
      <c r="C609" s="11" t="s">
        <v>2065</v>
      </c>
      <c r="D609" t="s">
        <v>176</v>
      </c>
      <c r="E609">
        <v>0.99937998465800004</v>
      </c>
      <c r="F609">
        <v>0.99916000000000005</v>
      </c>
      <c r="G609">
        <v>1</v>
      </c>
      <c r="H609">
        <v>1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</row>
    <row r="610" spans="2:16">
      <c r="B610" t="s">
        <v>789</v>
      </c>
      <c r="C610" s="11" t="s">
        <v>2066</v>
      </c>
      <c r="D610" t="s">
        <v>176</v>
      </c>
      <c r="E610">
        <v>0.99275290380199999</v>
      </c>
      <c r="F610">
        <v>0.93535999999999997</v>
      </c>
      <c r="G610">
        <v>1</v>
      </c>
      <c r="H610">
        <v>1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</row>
    <row r="611" spans="2:16">
      <c r="B611" t="s">
        <v>790</v>
      </c>
      <c r="C611" s="11" t="s">
        <v>2067</v>
      </c>
      <c r="D611" t="s">
        <v>176</v>
      </c>
      <c r="E611">
        <v>1</v>
      </c>
      <c r="F611">
        <v>1.0134905000000001</v>
      </c>
      <c r="G611">
        <v>1</v>
      </c>
      <c r="H611">
        <v>1.0025949000000001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</row>
    <row r="612" spans="2:16" hidden="1">
      <c r="B612" t="s">
        <v>791</v>
      </c>
      <c r="C612" s="11" t="s">
        <v>2068</v>
      </c>
      <c r="D612" t="s">
        <v>471</v>
      </c>
      <c r="E612">
        <v>1</v>
      </c>
      <c r="F612">
        <v>1.0056547</v>
      </c>
      <c r="G612">
        <v>1</v>
      </c>
      <c r="H612">
        <v>1.0121686999999999</v>
      </c>
      <c r="I612">
        <v>2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</row>
    <row r="613" spans="2:16">
      <c r="B613" t="s">
        <v>792</v>
      </c>
      <c r="C613" s="11" t="s">
        <v>2069</v>
      </c>
      <c r="D613" t="s">
        <v>176</v>
      </c>
      <c r="E613">
        <v>0.99956999999999996</v>
      </c>
      <c r="F613">
        <v>0.99594000000000005</v>
      </c>
      <c r="G613">
        <v>1</v>
      </c>
      <c r="H613">
        <v>1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</row>
    <row r="614" spans="2:16">
      <c r="B614" t="s">
        <v>793</v>
      </c>
      <c r="C614" s="11" t="s">
        <v>2070</v>
      </c>
      <c r="D614" t="s">
        <v>176</v>
      </c>
      <c r="E614">
        <v>1</v>
      </c>
      <c r="F614">
        <v>0.99199999999999999</v>
      </c>
      <c r="G614">
        <v>1</v>
      </c>
      <c r="H614">
        <v>1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</row>
    <row r="615" spans="2:16">
      <c r="B615" t="s">
        <v>794</v>
      </c>
      <c r="C615" s="11" t="s">
        <v>2071</v>
      </c>
      <c r="D615" t="s">
        <v>176</v>
      </c>
      <c r="E615">
        <v>1</v>
      </c>
      <c r="F615">
        <v>0.98556940000000004</v>
      </c>
      <c r="G615">
        <v>1</v>
      </c>
      <c r="H615">
        <v>1.0104107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</row>
    <row r="616" spans="2:16">
      <c r="B616" t="s">
        <v>795</v>
      </c>
      <c r="C616" s="11" t="s">
        <v>2072</v>
      </c>
      <c r="D616" t="s">
        <v>176</v>
      </c>
      <c r="E616">
        <v>1</v>
      </c>
      <c r="F616">
        <v>0.98747359999999995</v>
      </c>
      <c r="G616">
        <v>1</v>
      </c>
      <c r="H616">
        <v>1.0031148000000001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</row>
    <row r="617" spans="2:16">
      <c r="B617" t="s">
        <v>796</v>
      </c>
      <c r="C617" s="11" t="s">
        <v>2073</v>
      </c>
      <c r="D617" t="s">
        <v>176</v>
      </c>
      <c r="E617">
        <v>1</v>
      </c>
      <c r="F617">
        <v>0.89370269999999996</v>
      </c>
      <c r="G617">
        <v>1</v>
      </c>
      <c r="H617">
        <v>1.0051783000000001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</row>
    <row r="618" spans="2:16">
      <c r="B618" t="s">
        <v>797</v>
      </c>
      <c r="C618" s="11" t="s">
        <v>2074</v>
      </c>
      <c r="D618" t="s">
        <v>176</v>
      </c>
      <c r="E618">
        <v>1</v>
      </c>
      <c r="F618">
        <v>0.98693249999999999</v>
      </c>
      <c r="G618">
        <v>1</v>
      </c>
      <c r="H618">
        <v>1.0011015999999999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</row>
    <row r="619" spans="2:16">
      <c r="B619" t="s">
        <v>798</v>
      </c>
      <c r="C619" s="11" t="s">
        <v>2075</v>
      </c>
      <c r="D619" t="s">
        <v>176</v>
      </c>
      <c r="E619">
        <v>0.99958000000000002</v>
      </c>
      <c r="F619">
        <v>1.0019800000000001</v>
      </c>
      <c r="G619">
        <v>1</v>
      </c>
      <c r="H619">
        <v>1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</row>
    <row r="620" spans="2:16">
      <c r="B620" t="s">
        <v>799</v>
      </c>
      <c r="C620" s="11" t="s">
        <v>2076</v>
      </c>
      <c r="D620" t="s">
        <v>176</v>
      </c>
      <c r="E620">
        <v>1</v>
      </c>
      <c r="F620">
        <v>0.89297110000000002</v>
      </c>
      <c r="G620">
        <v>1</v>
      </c>
      <c r="H620">
        <v>1.0047311000000001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</row>
    <row r="621" spans="2:16">
      <c r="B621" t="s">
        <v>800</v>
      </c>
      <c r="C621" s="11" t="s">
        <v>2077</v>
      </c>
      <c r="D621" t="s">
        <v>176</v>
      </c>
      <c r="E621">
        <v>1</v>
      </c>
      <c r="F621">
        <v>1.0060511999999999</v>
      </c>
      <c r="G621">
        <v>1</v>
      </c>
      <c r="H621">
        <v>1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</row>
    <row r="622" spans="2:16">
      <c r="B622" t="s">
        <v>801</v>
      </c>
      <c r="C622" s="11" t="s">
        <v>2078</v>
      </c>
      <c r="D622" t="s">
        <v>176</v>
      </c>
      <c r="E622">
        <v>1</v>
      </c>
      <c r="F622">
        <v>0.97870380000000001</v>
      </c>
      <c r="G622">
        <v>1</v>
      </c>
      <c r="H622">
        <v>1.0087988000000001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</row>
    <row r="623" spans="2:16">
      <c r="B623" t="s">
        <v>802</v>
      </c>
      <c r="C623" s="11" t="s">
        <v>2079</v>
      </c>
      <c r="D623" t="s">
        <v>176</v>
      </c>
      <c r="E623">
        <v>1</v>
      </c>
      <c r="F623">
        <v>0.89935860000000001</v>
      </c>
      <c r="G623">
        <v>1</v>
      </c>
      <c r="H623">
        <v>1.014659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</row>
    <row r="624" spans="2:16">
      <c r="B624" t="s">
        <v>803</v>
      </c>
      <c r="C624" s="11" t="s">
        <v>2080</v>
      </c>
      <c r="D624" t="s">
        <v>176</v>
      </c>
      <c r="E624">
        <v>1</v>
      </c>
      <c r="F624">
        <v>0.96923340000000002</v>
      </c>
      <c r="G624">
        <v>1</v>
      </c>
      <c r="H624">
        <v>1.0047489999999999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</row>
    <row r="625" spans="2:39">
      <c r="B625" t="s">
        <v>804</v>
      </c>
      <c r="C625" s="11" t="s">
        <v>2081</v>
      </c>
      <c r="D625" t="s">
        <v>176</v>
      </c>
      <c r="E625">
        <v>0.99227021502500001</v>
      </c>
      <c r="F625">
        <v>0.98889000000000005</v>
      </c>
      <c r="G625">
        <v>1</v>
      </c>
      <c r="H625">
        <v>1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</row>
    <row r="626" spans="2:39">
      <c r="B626" t="s">
        <v>805</v>
      </c>
      <c r="C626" s="11" t="s">
        <v>2082</v>
      </c>
      <c r="D626" t="s">
        <v>176</v>
      </c>
      <c r="E626">
        <v>1.029039494536</v>
      </c>
      <c r="F626">
        <v>0.98182999999999998</v>
      </c>
      <c r="G626">
        <v>1</v>
      </c>
      <c r="H626">
        <v>1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</row>
    <row r="627" spans="2:39">
      <c r="B627" t="s">
        <v>806</v>
      </c>
      <c r="C627" s="11" t="s">
        <v>2083</v>
      </c>
      <c r="D627" t="s">
        <v>176</v>
      </c>
      <c r="E627">
        <v>0.99968999999999997</v>
      </c>
      <c r="F627">
        <v>1.01217</v>
      </c>
      <c r="G627">
        <v>1</v>
      </c>
      <c r="H627">
        <v>1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</row>
    <row r="628" spans="2:39">
      <c r="B628" t="s">
        <v>807</v>
      </c>
      <c r="C628" s="11" t="s">
        <v>2084</v>
      </c>
      <c r="D628" t="s">
        <v>176</v>
      </c>
      <c r="E628">
        <v>1.0157499999999999</v>
      </c>
      <c r="F628">
        <v>1.05765</v>
      </c>
      <c r="G628">
        <v>1</v>
      </c>
      <c r="H628">
        <v>1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</row>
    <row r="629" spans="2:39">
      <c r="B629" t="s">
        <v>808</v>
      </c>
      <c r="C629" s="11" t="s">
        <v>2085</v>
      </c>
      <c r="D629" t="s">
        <v>176</v>
      </c>
      <c r="E629">
        <v>1</v>
      </c>
      <c r="F629">
        <v>0.96709999999999996</v>
      </c>
      <c r="G629">
        <v>1</v>
      </c>
      <c r="H629">
        <v>0.96899999999999997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</row>
    <row r="630" spans="2:39">
      <c r="B630" t="s">
        <v>809</v>
      </c>
      <c r="C630" s="11" t="s">
        <v>2086</v>
      </c>
      <c r="D630" t="s">
        <v>176</v>
      </c>
      <c r="E630">
        <v>0.972478848585</v>
      </c>
      <c r="F630">
        <v>1.1052999999999999</v>
      </c>
      <c r="G630">
        <v>1</v>
      </c>
      <c r="H630">
        <v>1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</row>
    <row r="631" spans="2:39">
      <c r="B631" t="s">
        <v>810</v>
      </c>
      <c r="C631" s="11" t="s">
        <v>2087</v>
      </c>
      <c r="D631" t="s">
        <v>176</v>
      </c>
      <c r="E631">
        <v>1</v>
      </c>
      <c r="F631">
        <v>0.98019999999999996</v>
      </c>
      <c r="G631">
        <v>1</v>
      </c>
      <c r="H631">
        <v>1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</row>
    <row r="632" spans="2:39">
      <c r="B632" t="s">
        <v>811</v>
      </c>
      <c r="C632" s="11" t="s">
        <v>2088</v>
      </c>
      <c r="D632" t="s">
        <v>176</v>
      </c>
      <c r="E632">
        <v>1.0495933</v>
      </c>
      <c r="F632">
        <v>0.86921000000000004</v>
      </c>
      <c r="G632">
        <v>1</v>
      </c>
      <c r="H632">
        <v>1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</row>
    <row r="633" spans="2:39">
      <c r="B633" t="s">
        <v>812</v>
      </c>
      <c r="C633" s="11" t="s">
        <v>2089</v>
      </c>
      <c r="D633" t="s">
        <v>176</v>
      </c>
      <c r="E633">
        <v>0.98997000000000002</v>
      </c>
      <c r="F633">
        <v>1.0434399999999999</v>
      </c>
      <c r="G633">
        <v>1</v>
      </c>
      <c r="H633">
        <v>1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</row>
    <row r="634" spans="2:39">
      <c r="B634" t="s">
        <v>813</v>
      </c>
      <c r="C634" s="11" t="s">
        <v>2090</v>
      </c>
      <c r="D634" t="s">
        <v>176</v>
      </c>
      <c r="E634">
        <v>1</v>
      </c>
      <c r="F634">
        <v>0.96450000000000002</v>
      </c>
      <c r="G634">
        <v>1</v>
      </c>
      <c r="H634">
        <v>1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</row>
    <row r="635" spans="2:39">
      <c r="B635" t="s">
        <v>814</v>
      </c>
      <c r="C635" s="11" t="s">
        <v>2091</v>
      </c>
      <c r="D635" t="s">
        <v>176</v>
      </c>
      <c r="E635">
        <v>0.98075000000000001</v>
      </c>
      <c r="F635">
        <v>1.0680400000000001</v>
      </c>
      <c r="G635">
        <v>1</v>
      </c>
      <c r="H635">
        <v>1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</row>
    <row r="636" spans="2:39" hidden="1">
      <c r="B636" t="s">
        <v>815</v>
      </c>
      <c r="C636" s="11" t="s">
        <v>2092</v>
      </c>
      <c r="D636" t="s">
        <v>187</v>
      </c>
      <c r="E636">
        <v>1.037021673753</v>
      </c>
      <c r="F636">
        <v>0.98919999999999997</v>
      </c>
      <c r="G636">
        <v>1.033698573496</v>
      </c>
      <c r="H636">
        <v>1.0371999999999999</v>
      </c>
      <c r="I636">
        <v>0.2666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</row>
    <row r="637" spans="2:39" hidden="1">
      <c r="B637" t="s">
        <v>816</v>
      </c>
      <c r="C637" s="11" t="s">
        <v>2093</v>
      </c>
      <c r="D637" t="s">
        <v>168</v>
      </c>
      <c r="E637">
        <v>1.0043185698499999</v>
      </c>
      <c r="F637">
        <v>0.98619999999999997</v>
      </c>
      <c r="G637">
        <v>1</v>
      </c>
      <c r="H637">
        <v>1.0720000000000001</v>
      </c>
      <c r="I637">
        <v>0.73599999999999999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R637">
        <v>513.38</v>
      </c>
      <c r="S637">
        <v>500.60000088039169</v>
      </c>
      <c r="T637">
        <v>488.02478914293641</v>
      </c>
      <c r="U637">
        <v>475.70116725773278</v>
      </c>
      <c r="V637">
        <v>463.67577620905899</v>
      </c>
      <c r="W637">
        <v>451.99509619125263</v>
      </c>
      <c r="X637">
        <v>440.7054473009992</v>
      </c>
      <c r="Y637">
        <v>429.85299022604397</v>
      </c>
      <c r="Z637">
        <v>419.48372693035293</v>
      </c>
      <c r="AA637">
        <v>409.6435013357426</v>
      </c>
      <c r="AB637">
        <v>400.37799999999999</v>
      </c>
      <c r="AC637">
        <v>8.7851700000000008</v>
      </c>
      <c r="AD637">
        <v>8.2804237593720096</v>
      </c>
      <c r="AE637">
        <v>7.8508319290613677</v>
      </c>
      <c r="AF637">
        <v>7.482061777724482</v>
      </c>
      <c r="AG637">
        <v>7.1632900743051504</v>
      </c>
      <c r="AH637">
        <v>6.8861983063912477</v>
      </c>
      <c r="AI637">
        <v>6.6442952105287381</v>
      </c>
      <c r="AJ637">
        <v>6.4324487308775753</v>
      </c>
      <c r="AK637">
        <v>6.2465556859769489</v>
      </c>
      <c r="AL637">
        <v>6.083304201284129</v>
      </c>
      <c r="AM637">
        <v>5.94</v>
      </c>
    </row>
    <row r="638" spans="2:39">
      <c r="B638" t="s">
        <v>817</v>
      </c>
      <c r="C638" s="11" t="s">
        <v>2094</v>
      </c>
      <c r="D638" t="s">
        <v>176</v>
      </c>
      <c r="E638">
        <v>1.009839981766</v>
      </c>
      <c r="F638">
        <v>0.99219000000000002</v>
      </c>
      <c r="G638">
        <v>1</v>
      </c>
      <c r="H638">
        <v>1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</row>
    <row r="639" spans="2:39" hidden="1">
      <c r="B639" t="s">
        <v>818</v>
      </c>
      <c r="C639" s="11" t="s">
        <v>2095</v>
      </c>
      <c r="D639" t="s">
        <v>168</v>
      </c>
      <c r="E639">
        <v>1.0050251256280001</v>
      </c>
      <c r="F639">
        <v>1.0417000000000001</v>
      </c>
      <c r="G639">
        <v>1</v>
      </c>
      <c r="H639">
        <v>1.1286</v>
      </c>
      <c r="I639">
        <v>-1.2836000000000001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R639">
        <v>514.71</v>
      </c>
      <c r="S639">
        <v>506.38050397058873</v>
      </c>
      <c r="T639">
        <v>497.20852488815444</v>
      </c>
      <c r="U639">
        <v>487.25175473429294</v>
      </c>
      <c r="V639">
        <v>476.56765391360591</v>
      </c>
      <c r="W639">
        <v>465.21345241447898</v>
      </c>
      <c r="X639">
        <v>453.24615096288755</v>
      </c>
      <c r="Y639">
        <v>440.7225221692745</v>
      </c>
      <c r="Z639">
        <v>427.69911166855087</v>
      </c>
      <c r="AA639">
        <v>414.23223925326681</v>
      </c>
      <c r="AB639">
        <v>400.37799999999999</v>
      </c>
      <c r="AC639">
        <v>5.93</v>
      </c>
      <c r="AD639">
        <v>5.7969024419109871</v>
      </c>
      <c r="AE639">
        <v>5.6976466941533621</v>
      </c>
      <c r="AF639">
        <v>5.6290625865392512</v>
      </c>
      <c r="AG639">
        <v>5.5890536871857543</v>
      </c>
      <c r="AH639">
        <v>5.5764319573093397</v>
      </c>
      <c r="AI639">
        <v>5.590827889991381</v>
      </c>
      <c r="AJ639">
        <v>5.6326631354025976</v>
      </c>
      <c r="AK639">
        <v>5.703181760619807</v>
      </c>
      <c r="AL639">
        <v>5.8045445467041636</v>
      </c>
      <c r="AM639">
        <v>5.94</v>
      </c>
    </row>
    <row r="640" spans="2:39">
      <c r="B640" t="s">
        <v>819</v>
      </c>
      <c r="C640" s="11" t="s">
        <v>2096</v>
      </c>
      <c r="D640" t="s">
        <v>176</v>
      </c>
      <c r="E640">
        <v>1</v>
      </c>
      <c r="F640">
        <v>1.0297000000000001</v>
      </c>
      <c r="G640">
        <v>1</v>
      </c>
      <c r="H640">
        <v>1.0203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</row>
    <row r="641" spans="2:39" hidden="1">
      <c r="B641" t="s">
        <v>820</v>
      </c>
      <c r="C641" s="11" t="s">
        <v>2097</v>
      </c>
      <c r="D641" t="s">
        <v>168</v>
      </c>
      <c r="E641">
        <v>1</v>
      </c>
      <c r="F641">
        <v>0.97940000000000005</v>
      </c>
      <c r="G641">
        <v>1</v>
      </c>
      <c r="H641">
        <v>1</v>
      </c>
      <c r="I641">
        <v>1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R641">
        <v>557</v>
      </c>
      <c r="S641">
        <v>538.42590071549444</v>
      </c>
      <c r="T641">
        <v>520.49889016087911</v>
      </c>
      <c r="U641">
        <v>503.21896833615364</v>
      </c>
      <c r="V641">
        <v>486.58613524131852</v>
      </c>
      <c r="W641">
        <v>470.60039087637347</v>
      </c>
      <c r="X641">
        <v>455.26173524131855</v>
      </c>
      <c r="Y641">
        <v>440.5701683361537</v>
      </c>
      <c r="Z641">
        <v>426.52569016087898</v>
      </c>
      <c r="AA641">
        <v>413.12830071549439</v>
      </c>
      <c r="AB641">
        <v>400.37799999999999</v>
      </c>
      <c r="AC641">
        <v>4</v>
      </c>
      <c r="AD641">
        <v>4.1433236896153289</v>
      </c>
      <c r="AE641">
        <v>4.2953191874452656</v>
      </c>
      <c r="AF641">
        <v>4.4567586505589967</v>
      </c>
      <c r="AG641">
        <v>4.6285074190818314</v>
      </c>
      <c r="AH641">
        <v>4.811538453706337</v>
      </c>
      <c r="AI641">
        <v>5.0069495403193081</v>
      </c>
      <c r="AJ641">
        <v>5.2159839007124038</v>
      </c>
      <c r="AK641">
        <v>5.4400550227079796</v>
      </c>
      <c r="AL641">
        <v>5.6807767528130331</v>
      </c>
      <c r="AM641">
        <v>5.94</v>
      </c>
    </row>
    <row r="642" spans="2:39">
      <c r="B642" t="s">
        <v>821</v>
      </c>
      <c r="C642" s="11" t="s">
        <v>2098</v>
      </c>
      <c r="D642" t="s">
        <v>176</v>
      </c>
      <c r="E642">
        <v>1</v>
      </c>
      <c r="F642">
        <v>1.044</v>
      </c>
      <c r="G642">
        <v>1</v>
      </c>
      <c r="H642">
        <v>1.032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</row>
    <row r="643" spans="2:39">
      <c r="B643" t="s">
        <v>822</v>
      </c>
      <c r="C643" s="11" t="s">
        <v>2099</v>
      </c>
      <c r="D643" t="s">
        <v>176</v>
      </c>
      <c r="E643">
        <v>1</v>
      </c>
      <c r="F643">
        <v>1.0921000000000001</v>
      </c>
      <c r="G643">
        <v>1</v>
      </c>
      <c r="H643">
        <v>1.0064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</row>
    <row r="644" spans="2:39">
      <c r="B644" t="s">
        <v>823</v>
      </c>
      <c r="C644" s="11" t="s">
        <v>2100</v>
      </c>
      <c r="D644" t="s">
        <v>176</v>
      </c>
      <c r="E644">
        <v>0.98736176935200004</v>
      </c>
      <c r="F644">
        <v>1.1448</v>
      </c>
      <c r="G644">
        <v>1</v>
      </c>
      <c r="H644">
        <v>0.95760000000000001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</row>
    <row r="645" spans="2:39">
      <c r="B645" t="s">
        <v>824</v>
      </c>
      <c r="C645" s="11" t="s">
        <v>2101</v>
      </c>
      <c r="D645" t="s">
        <v>176</v>
      </c>
      <c r="E645">
        <v>1.0012515644560001</v>
      </c>
      <c r="F645">
        <v>0.96404000000000001</v>
      </c>
      <c r="G645">
        <v>1</v>
      </c>
      <c r="H645">
        <v>1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</row>
    <row r="646" spans="2:39">
      <c r="B646" t="s">
        <v>825</v>
      </c>
      <c r="C646" s="11" t="s">
        <v>2102</v>
      </c>
      <c r="D646" t="s">
        <v>176</v>
      </c>
      <c r="E646">
        <v>1</v>
      </c>
      <c r="F646">
        <v>0.99346710000000005</v>
      </c>
      <c r="G646">
        <v>1</v>
      </c>
      <c r="H646">
        <v>1.0180486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</row>
    <row r="647" spans="2:39">
      <c r="B647" t="s">
        <v>826</v>
      </c>
      <c r="C647" s="11" t="s">
        <v>2103</v>
      </c>
      <c r="D647" t="s">
        <v>176</v>
      </c>
      <c r="E647">
        <v>1</v>
      </c>
      <c r="F647">
        <v>0.99067769999999999</v>
      </c>
      <c r="G647">
        <v>1</v>
      </c>
      <c r="H647">
        <v>1.0077824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</row>
    <row r="648" spans="2:39">
      <c r="B648" t="s">
        <v>827</v>
      </c>
      <c r="C648" s="11" t="s">
        <v>2104</v>
      </c>
      <c r="D648" t="s">
        <v>176</v>
      </c>
      <c r="E648">
        <v>1</v>
      </c>
      <c r="F648">
        <v>0.92271170000000002</v>
      </c>
      <c r="G648">
        <v>1</v>
      </c>
      <c r="H648">
        <v>1.0108869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</row>
    <row r="649" spans="2:39">
      <c r="B649" t="s">
        <v>828</v>
      </c>
      <c r="C649" s="11" t="s">
        <v>2105</v>
      </c>
      <c r="D649" t="s">
        <v>176</v>
      </c>
      <c r="E649">
        <v>1</v>
      </c>
      <c r="F649">
        <v>0.99011329999999997</v>
      </c>
      <c r="G649">
        <v>1</v>
      </c>
      <c r="H649">
        <v>1.0043070999999999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</row>
    <row r="650" spans="2:39">
      <c r="B650" t="s">
        <v>829</v>
      </c>
      <c r="C650" s="11" t="s">
        <v>2106</v>
      </c>
      <c r="D650" t="s">
        <v>176</v>
      </c>
      <c r="E650">
        <v>0.99920063948799998</v>
      </c>
      <c r="F650">
        <v>0.93949000000000005</v>
      </c>
      <c r="G650">
        <v>1</v>
      </c>
      <c r="H650">
        <v>1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</row>
    <row r="651" spans="2:39">
      <c r="B651" t="s">
        <v>830</v>
      </c>
      <c r="C651" s="11" t="s">
        <v>2107</v>
      </c>
      <c r="D651" t="s">
        <v>176</v>
      </c>
      <c r="E651">
        <v>0.99757589058600005</v>
      </c>
      <c r="F651">
        <v>0.91178999999999999</v>
      </c>
      <c r="G651">
        <v>1</v>
      </c>
      <c r="H651">
        <v>1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</row>
    <row r="652" spans="2:39">
      <c r="B652" t="s">
        <v>831</v>
      </c>
      <c r="C652" s="11" t="s">
        <v>2108</v>
      </c>
      <c r="D652" t="s">
        <v>176</v>
      </c>
      <c r="E652">
        <v>1</v>
      </c>
      <c r="F652">
        <v>0.95040049999999998</v>
      </c>
      <c r="G652">
        <v>1</v>
      </c>
      <c r="H652">
        <v>1.0203986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</row>
    <row r="653" spans="2:39">
      <c r="B653" t="s">
        <v>832</v>
      </c>
      <c r="C653" s="11" t="s">
        <v>2109</v>
      </c>
      <c r="D653" t="s">
        <v>176</v>
      </c>
      <c r="E653">
        <v>1</v>
      </c>
      <c r="F653">
        <v>0.92101529999999998</v>
      </c>
      <c r="G653">
        <v>1</v>
      </c>
      <c r="H653">
        <v>1.0250359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</row>
    <row r="654" spans="2:39">
      <c r="B654" t="s">
        <v>833</v>
      </c>
      <c r="C654" s="11" t="s">
        <v>2110</v>
      </c>
      <c r="D654" t="s">
        <v>176</v>
      </c>
      <c r="E654">
        <v>1</v>
      </c>
      <c r="F654">
        <v>0.946075</v>
      </c>
      <c r="G654">
        <v>1</v>
      </c>
      <c r="H654">
        <v>1.0320956999999999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</row>
    <row r="655" spans="2:39">
      <c r="B655" t="s">
        <v>834</v>
      </c>
      <c r="C655" s="11" t="s">
        <v>2111</v>
      </c>
      <c r="D655" t="s">
        <v>176</v>
      </c>
      <c r="E655">
        <v>0.98866006900799996</v>
      </c>
      <c r="F655">
        <v>0.98828000000000005</v>
      </c>
      <c r="G655">
        <v>1</v>
      </c>
      <c r="H655">
        <v>1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</row>
    <row r="656" spans="2:39">
      <c r="B656" t="s">
        <v>835</v>
      </c>
      <c r="C656" s="11" t="s">
        <v>2112</v>
      </c>
      <c r="D656" t="s">
        <v>176</v>
      </c>
      <c r="E656">
        <v>1.0315020733189999</v>
      </c>
      <c r="F656">
        <v>0.97677000000000003</v>
      </c>
      <c r="G656">
        <v>1</v>
      </c>
      <c r="H656">
        <v>1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</row>
    <row r="657" spans="2:39">
      <c r="B657" t="s">
        <v>836</v>
      </c>
      <c r="C657" s="11" t="s">
        <v>2113</v>
      </c>
      <c r="D657" t="s">
        <v>176</v>
      </c>
      <c r="E657">
        <v>0.99948027025899999</v>
      </c>
      <c r="F657">
        <v>0.97921999999999998</v>
      </c>
      <c r="G657">
        <v>1</v>
      </c>
      <c r="H657">
        <v>1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</row>
    <row r="658" spans="2:39">
      <c r="B658" t="s">
        <v>837</v>
      </c>
      <c r="C658" s="11" t="s">
        <v>2114</v>
      </c>
      <c r="D658" t="s">
        <v>176</v>
      </c>
      <c r="E658">
        <v>1.0019999919839999</v>
      </c>
      <c r="F658">
        <v>0.98458999999999997</v>
      </c>
      <c r="G658">
        <v>1</v>
      </c>
      <c r="H658">
        <v>1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</row>
    <row r="659" spans="2:39">
      <c r="B659" t="s">
        <v>838</v>
      </c>
      <c r="C659" s="11" t="s">
        <v>2115</v>
      </c>
      <c r="D659" t="s">
        <v>176</v>
      </c>
      <c r="E659">
        <v>1.0070493454180001</v>
      </c>
      <c r="F659">
        <v>0.93700000000000006</v>
      </c>
      <c r="G659">
        <v>1</v>
      </c>
      <c r="H659">
        <v>1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</row>
    <row r="660" spans="2:39">
      <c r="B660" t="s">
        <v>839</v>
      </c>
      <c r="C660" s="11" t="s">
        <v>2116</v>
      </c>
      <c r="D660" t="s">
        <v>176</v>
      </c>
      <c r="E660">
        <v>1</v>
      </c>
      <c r="F660">
        <v>0.90780539999999998</v>
      </c>
      <c r="G660">
        <v>1</v>
      </c>
      <c r="H660">
        <v>1.0009087999999999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</row>
    <row r="661" spans="2:39">
      <c r="B661" t="s">
        <v>840</v>
      </c>
      <c r="C661" s="11" t="s">
        <v>2117</v>
      </c>
      <c r="D661" t="s">
        <v>176</v>
      </c>
      <c r="E661">
        <v>0.98721555851700005</v>
      </c>
      <c r="F661">
        <v>0.92835999999999996</v>
      </c>
      <c r="G661">
        <v>1</v>
      </c>
      <c r="H661">
        <v>1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</row>
    <row r="662" spans="2:39">
      <c r="B662" t="s">
        <v>841</v>
      </c>
      <c r="C662" s="11" t="s">
        <v>2118</v>
      </c>
      <c r="D662" t="s">
        <v>176</v>
      </c>
      <c r="E662">
        <v>0.98579469839599998</v>
      </c>
      <c r="F662">
        <v>0.90171000000000001</v>
      </c>
      <c r="G662">
        <v>1</v>
      </c>
      <c r="H662">
        <v>1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</row>
    <row r="663" spans="2:39">
      <c r="B663" t="s">
        <v>842</v>
      </c>
      <c r="C663" s="11" t="s">
        <v>2119</v>
      </c>
      <c r="D663" t="s">
        <v>176</v>
      </c>
      <c r="E663">
        <v>1</v>
      </c>
      <c r="F663">
        <v>1.0025158000000001</v>
      </c>
      <c r="G663">
        <v>1</v>
      </c>
      <c r="H663">
        <v>1.0005123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</row>
    <row r="664" spans="2:39">
      <c r="B664" t="s">
        <v>843</v>
      </c>
      <c r="C664" s="11" t="s">
        <v>2120</v>
      </c>
      <c r="D664" t="s">
        <v>176</v>
      </c>
      <c r="E664">
        <v>1</v>
      </c>
      <c r="F664">
        <v>0.99470000000000003</v>
      </c>
      <c r="G664">
        <v>1</v>
      </c>
      <c r="H664">
        <v>1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</row>
    <row r="665" spans="2:39">
      <c r="B665" t="s">
        <v>844</v>
      </c>
      <c r="C665" s="11" t="s">
        <v>2121</v>
      </c>
      <c r="D665" t="s">
        <v>176</v>
      </c>
      <c r="E665">
        <v>1</v>
      </c>
      <c r="F665">
        <v>0.996</v>
      </c>
      <c r="G665">
        <v>1</v>
      </c>
      <c r="H665">
        <v>1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</row>
    <row r="666" spans="2:39" hidden="1">
      <c r="B666" t="s">
        <v>845</v>
      </c>
      <c r="C666" s="11" t="s">
        <v>2122</v>
      </c>
      <c r="D666" t="s">
        <v>168</v>
      </c>
      <c r="E666">
        <v>0.99992245899999999</v>
      </c>
      <c r="F666">
        <v>1.0014328240000001</v>
      </c>
      <c r="G666">
        <v>0.99912031099999998</v>
      </c>
      <c r="H666">
        <v>1.0004144399999999</v>
      </c>
      <c r="I666">
        <v>-5.5124029300899997E-2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R666">
        <v>425.125</v>
      </c>
      <c r="S666">
        <v>423.4800320217775</v>
      </c>
      <c r="T666">
        <v>421.81790384664487</v>
      </c>
      <c r="U666">
        <v>420.13783963086178</v>
      </c>
      <c r="V666">
        <v>418.43906348255973</v>
      </c>
      <c r="W666">
        <v>416.72079946173676</v>
      </c>
      <c r="X666">
        <v>414.98227158025509</v>
      </c>
      <c r="Y666">
        <v>413.22270380183647</v>
      </c>
      <c r="Z666">
        <v>411.44132004205926</v>
      </c>
      <c r="AA666">
        <v>409.63734416835393</v>
      </c>
      <c r="AB666">
        <v>407.81</v>
      </c>
      <c r="AC666">
        <v>3.9227696129999998</v>
      </c>
      <c r="AD666">
        <v>3.918637955593935</v>
      </c>
      <c r="AE666">
        <v>3.9142468292977739</v>
      </c>
      <c r="AF666">
        <v>3.9096805948928433</v>
      </c>
      <c r="AG666">
        <v>3.9050229611585476</v>
      </c>
      <c r="AH666">
        <v>3.9003569295407088</v>
      </c>
      <c r="AI666">
        <v>3.895764774584948</v>
      </c>
      <c r="AJ666">
        <v>3.891328059369433</v>
      </c>
      <c r="AK666">
        <v>3.8871276851702463</v>
      </c>
      <c r="AL666">
        <v>3.8832439746526282</v>
      </c>
      <c r="AM666">
        <v>3.8797567879999999</v>
      </c>
    </row>
    <row r="667" spans="2:39">
      <c r="B667" t="s">
        <v>846</v>
      </c>
      <c r="C667" s="11" t="s">
        <v>2123</v>
      </c>
      <c r="D667" t="s">
        <v>176</v>
      </c>
      <c r="E667">
        <v>1.0135700000000001</v>
      </c>
      <c r="F667">
        <v>0.90803</v>
      </c>
      <c r="G667">
        <v>1</v>
      </c>
      <c r="H667">
        <v>1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</row>
    <row r="668" spans="2:39" hidden="1">
      <c r="B668" t="s">
        <v>847</v>
      </c>
      <c r="C668" s="11" t="s">
        <v>2124</v>
      </c>
      <c r="D668" t="s">
        <v>168</v>
      </c>
      <c r="E668">
        <v>1</v>
      </c>
      <c r="F668">
        <v>1.0018357879999999</v>
      </c>
      <c r="G668">
        <v>1</v>
      </c>
      <c r="H668">
        <v>1.0022843530000001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R668">
        <v>460.35</v>
      </c>
      <c r="S668">
        <v>455.09595943177186</v>
      </c>
      <c r="T668">
        <v>449.84192787870552</v>
      </c>
      <c r="U668">
        <v>444.58790534080083</v>
      </c>
      <c r="V668">
        <v>439.33389181805819</v>
      </c>
      <c r="W668">
        <v>434.07988731047726</v>
      </c>
      <c r="X668">
        <v>428.82589181805815</v>
      </c>
      <c r="Y668">
        <v>423.57190534080087</v>
      </c>
      <c r="Z668">
        <v>418.31792787870546</v>
      </c>
      <c r="AA668">
        <v>413.06395943177176</v>
      </c>
      <c r="AB668">
        <v>407.81</v>
      </c>
      <c r="AC668">
        <v>3.2709999999999999</v>
      </c>
      <c r="AD668">
        <v>3.3232213322899433</v>
      </c>
      <c r="AE668">
        <v>3.3771189464658495</v>
      </c>
      <c r="AF668">
        <v>3.4327748615773315</v>
      </c>
      <c r="AG668">
        <v>3.4902765362149433</v>
      </c>
      <c r="AH668">
        <v>3.5497173270539402</v>
      </c>
      <c r="AI668">
        <v>3.6111969945788212</v>
      </c>
      <c r="AJ668">
        <v>3.6748222617510899</v>
      </c>
      <c r="AK668">
        <v>3.740707432201372</v>
      </c>
      <c r="AL668">
        <v>3.8089750754787746</v>
      </c>
      <c r="AM668">
        <v>3.8797567879999999</v>
      </c>
    </row>
    <row r="669" spans="2:39" hidden="1">
      <c r="B669" t="s">
        <v>848</v>
      </c>
      <c r="C669" s="11" t="s">
        <v>2125</v>
      </c>
      <c r="D669" t="s">
        <v>168</v>
      </c>
      <c r="E669">
        <v>1</v>
      </c>
      <c r="F669">
        <v>1.002495889</v>
      </c>
      <c r="G669">
        <v>1</v>
      </c>
      <c r="H669">
        <v>1.002779804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R669">
        <v>469.65899999999999</v>
      </c>
      <c r="S669">
        <v>463.47429525786004</v>
      </c>
      <c r="T669">
        <v>457.28954712508448</v>
      </c>
      <c r="U669">
        <v>451.10475560167322</v>
      </c>
      <c r="V669">
        <v>444.91992068762659</v>
      </c>
      <c r="W669">
        <v>438.73504238294441</v>
      </c>
      <c r="X669">
        <v>432.55012068762665</v>
      </c>
      <c r="Y669">
        <v>426.36515560167328</v>
      </c>
      <c r="Z669">
        <v>420.18014712508443</v>
      </c>
      <c r="AA669">
        <v>413.99509525785999</v>
      </c>
      <c r="AB669">
        <v>407.81</v>
      </c>
      <c r="AC669">
        <v>3.2599099999999996</v>
      </c>
      <c r="AD669">
        <v>3.3126948921288055</v>
      </c>
      <c r="AE669">
        <v>3.367250020162635</v>
      </c>
      <c r="AF669">
        <v>3.4236659249445482</v>
      </c>
      <c r="AG669">
        <v>3.482039428872401</v>
      </c>
      <c r="AH669">
        <v>3.5424741902672485</v>
      </c>
      <c r="AI669">
        <v>3.6050813175064942</v>
      </c>
      <c r="AJ669">
        <v>3.669980050576207</v>
      </c>
      <c r="AK669">
        <v>3.7372985188383288</v>
      </c>
      <c r="AL669">
        <v>3.8071745851448227</v>
      </c>
      <c r="AM669">
        <v>3.8797567879999999</v>
      </c>
    </row>
    <row r="670" spans="2:39">
      <c r="B670" t="s">
        <v>849</v>
      </c>
      <c r="C670" s="11" t="s">
        <v>2126</v>
      </c>
      <c r="D670" t="s">
        <v>176</v>
      </c>
      <c r="E670">
        <v>1.01636345157</v>
      </c>
      <c r="F670">
        <v>0.93579999999999997</v>
      </c>
      <c r="G670">
        <v>1</v>
      </c>
      <c r="H670">
        <v>1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</row>
    <row r="671" spans="2:39">
      <c r="B671" t="s">
        <v>850</v>
      </c>
      <c r="C671" s="11" t="s">
        <v>2127</v>
      </c>
      <c r="D671" t="s">
        <v>176</v>
      </c>
      <c r="E671">
        <v>1.048</v>
      </c>
      <c r="F671">
        <v>0.89</v>
      </c>
      <c r="G671">
        <v>1</v>
      </c>
      <c r="H671">
        <v>1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</row>
    <row r="672" spans="2:39" hidden="1">
      <c r="B672" t="s">
        <v>851</v>
      </c>
      <c r="C672" s="11" t="s">
        <v>2128</v>
      </c>
      <c r="D672" t="s">
        <v>168</v>
      </c>
      <c r="E672">
        <v>1</v>
      </c>
      <c r="F672">
        <v>1.0060180540000001</v>
      </c>
      <c r="G672">
        <v>1</v>
      </c>
      <c r="H672">
        <v>1.010493989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R672">
        <v>507.82</v>
      </c>
      <c r="S672">
        <v>497.81892272967536</v>
      </c>
      <c r="T672">
        <v>487.81786263053402</v>
      </c>
      <c r="U672">
        <v>477.81681970257569</v>
      </c>
      <c r="V672">
        <v>467.81579394580092</v>
      </c>
      <c r="W672">
        <v>457.81478536020927</v>
      </c>
      <c r="X672">
        <v>447.81379394580091</v>
      </c>
      <c r="Y672">
        <v>437.81281970257578</v>
      </c>
      <c r="Z672">
        <v>427.81186263053394</v>
      </c>
      <c r="AA672">
        <v>417.81092272967533</v>
      </c>
      <c r="AB672">
        <v>407.81</v>
      </c>
      <c r="AC672">
        <v>2.706</v>
      </c>
      <c r="AD672">
        <v>2.7905492277125208</v>
      </c>
      <c r="AE672">
        <v>2.8805216575268466</v>
      </c>
      <c r="AF672">
        <v>2.9764563489645273</v>
      </c>
      <c r="AG672">
        <v>3.0789662522074472</v>
      </c>
      <c r="AH672">
        <v>3.1887513178930842</v>
      </c>
      <c r="AI672">
        <v>3.3066145007477865</v>
      </c>
      <c r="AJ672">
        <v>3.4334814307681292</v>
      </c>
      <c r="AK672">
        <v>3.5704247714633426</v>
      </c>
      <c r="AL672">
        <v>3.7186946219592145</v>
      </c>
      <c r="AM672">
        <v>3.8797567879999999</v>
      </c>
    </row>
    <row r="673" spans="2:39">
      <c r="B673" t="s">
        <v>852</v>
      </c>
      <c r="C673" s="11" t="s">
        <v>2129</v>
      </c>
      <c r="D673" t="s">
        <v>176</v>
      </c>
      <c r="E673">
        <v>1.018</v>
      </c>
      <c r="F673">
        <v>0.96499999999999997</v>
      </c>
      <c r="G673">
        <v>1</v>
      </c>
      <c r="H673">
        <v>1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</row>
    <row r="674" spans="2:39">
      <c r="B674" t="s">
        <v>853</v>
      </c>
      <c r="C674" s="11" t="s">
        <v>2130</v>
      </c>
      <c r="D674" t="s">
        <v>176</v>
      </c>
      <c r="E674">
        <v>1</v>
      </c>
      <c r="F674">
        <v>0.99199999999999999</v>
      </c>
      <c r="G674">
        <v>1</v>
      </c>
      <c r="H674">
        <v>1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</row>
    <row r="675" spans="2:39">
      <c r="B675" t="s">
        <v>854</v>
      </c>
      <c r="C675" s="11" t="s">
        <v>2131</v>
      </c>
      <c r="D675" t="s">
        <v>176</v>
      </c>
      <c r="E675">
        <v>1</v>
      </c>
      <c r="F675">
        <v>1.0166999999999999</v>
      </c>
      <c r="G675">
        <v>1</v>
      </c>
      <c r="H675">
        <v>1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</row>
    <row r="676" spans="2:39" hidden="1">
      <c r="B676" t="s">
        <v>855</v>
      </c>
      <c r="C676" s="11" t="s">
        <v>2132</v>
      </c>
      <c r="D676" t="s">
        <v>168</v>
      </c>
      <c r="E676">
        <v>1</v>
      </c>
      <c r="F676">
        <v>1.00988576</v>
      </c>
      <c r="G676">
        <v>1</v>
      </c>
      <c r="H676">
        <v>1.021668316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R676">
        <v>540.20000000000005</v>
      </c>
      <c r="S676">
        <v>526.96012596810374</v>
      </c>
      <c r="T676">
        <v>513.72044616551773</v>
      </c>
      <c r="U676">
        <v>500.48096059224179</v>
      </c>
      <c r="V676">
        <v>487.24166924827637</v>
      </c>
      <c r="W676">
        <v>474.00257213362124</v>
      </c>
      <c r="X676">
        <v>460.76366924827641</v>
      </c>
      <c r="Y676">
        <v>447.52496059224183</v>
      </c>
      <c r="Z676">
        <v>434.28644616551765</v>
      </c>
      <c r="AA676">
        <v>421.04812596810359</v>
      </c>
      <c r="AB676">
        <v>407.81</v>
      </c>
      <c r="AC676">
        <v>2.33</v>
      </c>
      <c r="AD676">
        <v>2.4269059492938934</v>
      </c>
      <c r="AE676">
        <v>2.5322315235809585</v>
      </c>
      <c r="AF676">
        <v>2.6471238581903345</v>
      </c>
      <c r="AG676">
        <v>2.772948391980274</v>
      </c>
      <c r="AH676">
        <v>2.911343391180035</v>
      </c>
      <c r="AI676">
        <v>3.0642916740057085</v>
      </c>
      <c r="AJ676">
        <v>3.2342162181534895</v>
      </c>
      <c r="AK676">
        <v>3.424109474266162</v>
      </c>
      <c r="AL676">
        <v>3.6377111141637104</v>
      </c>
      <c r="AM676">
        <v>3.8797567879999999</v>
      </c>
    </row>
    <row r="677" spans="2:39" hidden="1">
      <c r="B677" t="s">
        <v>856</v>
      </c>
      <c r="C677" s="11" t="s">
        <v>2133</v>
      </c>
      <c r="D677" t="s">
        <v>168</v>
      </c>
      <c r="E677">
        <v>1</v>
      </c>
      <c r="F677">
        <v>1</v>
      </c>
      <c r="G677">
        <v>1</v>
      </c>
      <c r="H677">
        <v>1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R677">
        <v>647.096</v>
      </c>
      <c r="S677">
        <v>620.69265360843008</v>
      </c>
      <c r="T677">
        <v>594.83925085943133</v>
      </c>
      <c r="U677">
        <v>569.53579175300342</v>
      </c>
      <c r="V677">
        <v>544.78227628914681</v>
      </c>
      <c r="W677">
        <v>520.57870446786126</v>
      </c>
      <c r="X677">
        <v>496.92507628914683</v>
      </c>
      <c r="Y677">
        <v>473.82139175300347</v>
      </c>
      <c r="Z677">
        <v>451.26765085943123</v>
      </c>
      <c r="AA677">
        <v>429.26385360843005</v>
      </c>
      <c r="AB677">
        <v>407.81</v>
      </c>
      <c r="AC677">
        <v>17.873727995599999</v>
      </c>
      <c r="AD677">
        <v>13.948300169665009</v>
      </c>
      <c r="AE677">
        <v>11.309133551772993</v>
      </c>
      <c r="AF677">
        <v>9.4214852289307345</v>
      </c>
      <c r="AG677">
        <v>8.0101154945779012</v>
      </c>
      <c r="AH677">
        <v>6.9190071955619477</v>
      </c>
      <c r="AI677">
        <v>6.053189597140225</v>
      </c>
      <c r="AJ677">
        <v>5.3515884192451466</v>
      </c>
      <c r="AK677">
        <v>4.7731751213389675</v>
      </c>
      <c r="AL677">
        <v>4.2893899337426928</v>
      </c>
      <c r="AM677">
        <v>3.8797567879999999</v>
      </c>
    </row>
    <row r="678" spans="2:39">
      <c r="B678" t="s">
        <v>857</v>
      </c>
      <c r="C678" s="11" t="s">
        <v>2134</v>
      </c>
      <c r="D678" t="s">
        <v>176</v>
      </c>
      <c r="E678">
        <v>1</v>
      </c>
      <c r="F678">
        <v>1.03</v>
      </c>
      <c r="G678">
        <v>1</v>
      </c>
      <c r="H678">
        <v>1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</row>
    <row r="679" spans="2:39">
      <c r="B679" t="s">
        <v>858</v>
      </c>
      <c r="C679" s="11" t="s">
        <v>2135</v>
      </c>
      <c r="D679" t="s">
        <v>176</v>
      </c>
      <c r="E679">
        <v>1</v>
      </c>
      <c r="F679">
        <v>1.01</v>
      </c>
      <c r="G679">
        <v>1</v>
      </c>
      <c r="H679">
        <v>1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</row>
    <row r="680" spans="2:39" hidden="1">
      <c r="B680" t="s">
        <v>859</v>
      </c>
      <c r="C680" s="11" t="s">
        <v>2136</v>
      </c>
      <c r="D680" t="s">
        <v>168</v>
      </c>
      <c r="E680">
        <v>1</v>
      </c>
      <c r="F680">
        <v>1.0139454240000001</v>
      </c>
      <c r="G680">
        <v>1</v>
      </c>
      <c r="H680">
        <v>1.0328070629999999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R680">
        <v>568.74</v>
      </c>
      <c r="S680">
        <v>552.65426816371246</v>
      </c>
      <c r="T680">
        <v>536.56692117993316</v>
      </c>
      <c r="U680">
        <v>520.47795904866211</v>
      </c>
      <c r="V680">
        <v>504.38738176989955</v>
      </c>
      <c r="W680">
        <v>488.29518934364535</v>
      </c>
      <c r="X680">
        <v>472.20138176989957</v>
      </c>
      <c r="Y680">
        <v>456.1059590486621</v>
      </c>
      <c r="Z680">
        <v>440.00892117993305</v>
      </c>
      <c r="AA680">
        <v>423.91026816371232</v>
      </c>
      <c r="AB680">
        <v>407.81</v>
      </c>
      <c r="AC680">
        <v>2.0310000000000001</v>
      </c>
      <c r="AD680">
        <v>2.1331668417317156</v>
      </c>
      <c r="AE680">
        <v>2.2460226912958379</v>
      </c>
      <c r="AF680">
        <v>2.3713373659765962</v>
      </c>
      <c r="AG680">
        <v>2.5112942193151322</v>
      </c>
      <c r="AH680">
        <v>2.6686184182517714</v>
      </c>
      <c r="AI680">
        <v>2.8467561277347699</v>
      </c>
      <c r="AJ680">
        <v>3.0501298422460135</v>
      </c>
      <c r="AK680">
        <v>3.2845104949404531</v>
      </c>
      <c r="AL680">
        <v>3.5575737965608281</v>
      </c>
      <c r="AM680">
        <v>3.8797567879999999</v>
      </c>
    </row>
    <row r="681" spans="2:39" hidden="1">
      <c r="B681" t="s">
        <v>860</v>
      </c>
      <c r="C681" s="11" t="s">
        <v>2137</v>
      </c>
      <c r="D681" t="s">
        <v>168</v>
      </c>
      <c r="E681">
        <v>1</v>
      </c>
      <c r="F681">
        <v>1.017817492</v>
      </c>
      <c r="G681">
        <v>1</v>
      </c>
      <c r="H681">
        <v>1.0472984750000001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R681">
        <v>594.54999999999995</v>
      </c>
      <c r="S681">
        <v>575.87585578571941</v>
      </c>
      <c r="T681">
        <v>557.20174361905686</v>
      </c>
      <c r="U681">
        <v>538.52766350001184</v>
      </c>
      <c r="V681">
        <v>519.85361542858504</v>
      </c>
      <c r="W681">
        <v>501.17959940477613</v>
      </c>
      <c r="X681">
        <v>482.50561542858509</v>
      </c>
      <c r="Y681">
        <v>463.83166350001193</v>
      </c>
      <c r="Z681">
        <v>445.15774361905676</v>
      </c>
      <c r="AA681">
        <v>426.48385578571936</v>
      </c>
      <c r="AB681">
        <v>407.81</v>
      </c>
      <c r="AC681">
        <v>1.8099999999999998</v>
      </c>
      <c r="AD681">
        <v>1.9121604890357722</v>
      </c>
      <c r="AE681">
        <v>2.0265032589351755</v>
      </c>
      <c r="AF681">
        <v>2.1553454879959784</v>
      </c>
      <c r="AG681">
        <v>2.3016318003563745</v>
      </c>
      <c r="AH681">
        <v>2.4691620614482894</v>
      </c>
      <c r="AI681">
        <v>2.6629261855492978</v>
      </c>
      <c r="AJ681">
        <v>2.8896095874624659</v>
      </c>
      <c r="AK681">
        <v>3.1583801671270346</v>
      </c>
      <c r="AL681">
        <v>3.4821584955760687</v>
      </c>
      <c r="AM681">
        <v>3.8797567879999999</v>
      </c>
    </row>
    <row r="682" spans="2:39" hidden="1">
      <c r="B682" t="s">
        <v>861</v>
      </c>
      <c r="C682" s="11" t="s">
        <v>2138</v>
      </c>
      <c r="D682" t="s">
        <v>168</v>
      </c>
      <c r="E682">
        <v>1</v>
      </c>
      <c r="F682">
        <v>1.021624748</v>
      </c>
      <c r="G682">
        <v>1</v>
      </c>
      <c r="H682">
        <v>1.0602433440000001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R682">
        <v>617.70000000000005</v>
      </c>
      <c r="S682">
        <v>596.71083784783013</v>
      </c>
      <c r="T682">
        <v>575.72171172947583</v>
      </c>
      <c r="U682">
        <v>554.73262164493678</v>
      </c>
      <c r="V682">
        <v>533.74356759421357</v>
      </c>
      <c r="W682">
        <v>512.75454957730574</v>
      </c>
      <c r="X682">
        <v>491.76556759421351</v>
      </c>
      <c r="Y682">
        <v>470.77662164493682</v>
      </c>
      <c r="Z682">
        <v>449.78771172947569</v>
      </c>
      <c r="AA682">
        <v>428.7988378478301</v>
      </c>
      <c r="AB682">
        <v>407.81</v>
      </c>
      <c r="AC682">
        <v>1.6400000000000001</v>
      </c>
      <c r="AD682">
        <v>1.740633850767985</v>
      </c>
      <c r="AE682">
        <v>1.8543855991440072</v>
      </c>
      <c r="AF682">
        <v>1.9839989817951493</v>
      </c>
      <c r="AG682">
        <v>2.1330402537997144</v>
      </c>
      <c r="AH682">
        <v>2.3062313781658537</v>
      </c>
      <c r="AI682">
        <v>2.5099594578978661</v>
      </c>
      <c r="AJ682">
        <v>2.7530816879691615</v>
      </c>
      <c r="AK682">
        <v>3.0482472354077736</v>
      </c>
      <c r="AL682">
        <v>3.4141697587199351</v>
      </c>
      <c r="AM682">
        <v>3.8797567879999999</v>
      </c>
    </row>
    <row r="683" spans="2:39">
      <c r="B683" t="s">
        <v>862</v>
      </c>
      <c r="C683" s="11" t="s">
        <v>2139</v>
      </c>
      <c r="D683" t="s">
        <v>176</v>
      </c>
      <c r="E683">
        <v>1</v>
      </c>
      <c r="F683">
        <v>1.1599999999999999</v>
      </c>
      <c r="G683">
        <v>1</v>
      </c>
      <c r="H683">
        <v>1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</row>
    <row r="684" spans="2:39">
      <c r="B684" t="s">
        <v>863</v>
      </c>
      <c r="C684" s="11" t="s">
        <v>2140</v>
      </c>
      <c r="D684" t="s">
        <v>176</v>
      </c>
      <c r="E684">
        <v>1.0136000000000001</v>
      </c>
      <c r="F684">
        <v>0.9405</v>
      </c>
      <c r="G684">
        <v>1</v>
      </c>
      <c r="H684">
        <v>1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</row>
    <row r="685" spans="2:39">
      <c r="B685" t="s">
        <v>864</v>
      </c>
      <c r="C685" s="11" t="s">
        <v>2141</v>
      </c>
      <c r="D685" t="s">
        <v>176</v>
      </c>
      <c r="E685">
        <v>1.0122686966029999</v>
      </c>
      <c r="F685">
        <v>1.04115</v>
      </c>
      <c r="G685">
        <v>1</v>
      </c>
      <c r="H685">
        <v>1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</row>
    <row r="686" spans="2:39">
      <c r="B686" t="s">
        <v>865</v>
      </c>
      <c r="C686" s="11" t="s">
        <v>2142</v>
      </c>
      <c r="D686" t="s">
        <v>176</v>
      </c>
      <c r="E686">
        <v>0.990197049213</v>
      </c>
      <c r="F686">
        <v>1.0959000000000001</v>
      </c>
      <c r="G686">
        <v>1</v>
      </c>
      <c r="H686">
        <v>1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</row>
    <row r="687" spans="2:39">
      <c r="B687" t="s">
        <v>866</v>
      </c>
      <c r="C687" s="11" t="s">
        <v>2143</v>
      </c>
      <c r="D687" t="s">
        <v>176</v>
      </c>
      <c r="E687">
        <v>1.0386373078519999</v>
      </c>
      <c r="F687">
        <v>1.0124</v>
      </c>
      <c r="G687">
        <v>1</v>
      </c>
      <c r="H687">
        <v>1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</row>
    <row r="688" spans="2:39">
      <c r="B688" t="s">
        <v>867</v>
      </c>
      <c r="C688" s="11" t="s">
        <v>2144</v>
      </c>
      <c r="D688" t="s">
        <v>176</v>
      </c>
      <c r="E688">
        <v>1.0155377272270001</v>
      </c>
      <c r="F688">
        <v>1.0224</v>
      </c>
      <c r="G688">
        <v>1</v>
      </c>
      <c r="H688">
        <v>1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</row>
    <row r="689" spans="2:16">
      <c r="B689" t="s">
        <v>868</v>
      </c>
      <c r="C689" s="11" t="s">
        <v>2145</v>
      </c>
      <c r="D689" t="s">
        <v>176</v>
      </c>
      <c r="E689">
        <v>1.015847216579</v>
      </c>
      <c r="F689">
        <v>1</v>
      </c>
      <c r="G689">
        <v>1</v>
      </c>
      <c r="H689">
        <v>1.0266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</row>
    <row r="690" spans="2:16">
      <c r="B690" t="s">
        <v>869</v>
      </c>
      <c r="C690" s="11" t="s">
        <v>2146</v>
      </c>
      <c r="D690" t="s">
        <v>176</v>
      </c>
      <c r="E690">
        <v>1.0305028854080001</v>
      </c>
      <c r="F690">
        <v>0.94240000000000002</v>
      </c>
      <c r="G690">
        <v>1</v>
      </c>
      <c r="H690">
        <v>0.7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</row>
    <row r="691" spans="2:16">
      <c r="B691" t="s">
        <v>870</v>
      </c>
      <c r="C691" s="11" t="s">
        <v>2147</v>
      </c>
      <c r="D691" t="s">
        <v>176</v>
      </c>
      <c r="E691">
        <v>1.0113300314760001</v>
      </c>
      <c r="F691">
        <v>1.0211399999999999</v>
      </c>
      <c r="G691">
        <v>1</v>
      </c>
      <c r="H691">
        <v>1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</row>
    <row r="692" spans="2:16">
      <c r="B692" t="s">
        <v>871</v>
      </c>
      <c r="C692" s="11" t="s">
        <v>2148</v>
      </c>
      <c r="D692" t="s">
        <v>176</v>
      </c>
      <c r="E692">
        <v>1</v>
      </c>
      <c r="F692">
        <v>1.1479999999999999</v>
      </c>
      <c r="G692">
        <v>1</v>
      </c>
      <c r="H692">
        <v>1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</row>
    <row r="693" spans="2:16">
      <c r="B693" t="s">
        <v>872</v>
      </c>
      <c r="C693" s="11" t="s">
        <v>2149</v>
      </c>
      <c r="D693" t="s">
        <v>176</v>
      </c>
      <c r="E693">
        <v>1</v>
      </c>
      <c r="F693">
        <v>0.99454379999999998</v>
      </c>
      <c r="G693">
        <v>1</v>
      </c>
      <c r="H693">
        <v>1.0012779999999999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</row>
    <row r="694" spans="2:16">
      <c r="B694" t="s">
        <v>873</v>
      </c>
      <c r="C694" s="11" t="s">
        <v>2150</v>
      </c>
      <c r="D694" t="s">
        <v>176</v>
      </c>
      <c r="E694">
        <v>1</v>
      </c>
      <c r="F694">
        <v>0.98396830000000002</v>
      </c>
      <c r="G694">
        <v>1</v>
      </c>
      <c r="H694">
        <v>1.0129893999999999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</row>
    <row r="695" spans="2:16">
      <c r="B695" t="s">
        <v>874</v>
      </c>
      <c r="C695" s="11" t="s">
        <v>2151</v>
      </c>
      <c r="D695" t="s">
        <v>176</v>
      </c>
      <c r="E695">
        <v>1</v>
      </c>
      <c r="F695">
        <v>0.997</v>
      </c>
      <c r="G695">
        <v>1</v>
      </c>
      <c r="H695">
        <v>1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</row>
    <row r="696" spans="2:16">
      <c r="B696" t="s">
        <v>875</v>
      </c>
      <c r="C696" s="11" t="s">
        <v>2152</v>
      </c>
      <c r="D696" t="s">
        <v>176</v>
      </c>
      <c r="E696">
        <v>1.0138902970699999</v>
      </c>
      <c r="F696">
        <v>0.96020000000000005</v>
      </c>
      <c r="G696">
        <v>1</v>
      </c>
      <c r="H696">
        <v>1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</row>
    <row r="697" spans="2:16">
      <c r="B697" t="s">
        <v>876</v>
      </c>
      <c r="C697" s="11" t="s">
        <v>2153</v>
      </c>
      <c r="D697" t="s">
        <v>176</v>
      </c>
      <c r="E697">
        <v>1.0260619741429999</v>
      </c>
      <c r="F697">
        <v>0.92090000000000005</v>
      </c>
      <c r="G697">
        <v>1</v>
      </c>
      <c r="H697">
        <v>1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</row>
    <row r="698" spans="2:16">
      <c r="B698" t="s">
        <v>877</v>
      </c>
      <c r="C698" s="11" t="s">
        <v>2154</v>
      </c>
      <c r="D698" t="s">
        <v>176</v>
      </c>
      <c r="E698">
        <v>1.022913256956</v>
      </c>
      <c r="F698">
        <v>0.9627</v>
      </c>
      <c r="G698">
        <v>1</v>
      </c>
      <c r="H698">
        <v>1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</row>
    <row r="699" spans="2:16">
      <c r="B699" t="s">
        <v>878</v>
      </c>
      <c r="C699" s="11" t="s">
        <v>2155</v>
      </c>
      <c r="D699" t="s">
        <v>176</v>
      </c>
      <c r="E699">
        <v>1</v>
      </c>
      <c r="F699">
        <v>1.0027999999999999</v>
      </c>
      <c r="G699">
        <v>1</v>
      </c>
      <c r="H699">
        <v>1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</row>
    <row r="700" spans="2:16">
      <c r="B700" t="s">
        <v>879</v>
      </c>
      <c r="C700" s="11" t="s">
        <v>2156</v>
      </c>
      <c r="D700" t="s">
        <v>176</v>
      </c>
      <c r="E700">
        <v>1</v>
      </c>
      <c r="F700">
        <v>1.0101</v>
      </c>
      <c r="G700">
        <v>1</v>
      </c>
      <c r="H700">
        <v>1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</row>
    <row r="701" spans="2:16">
      <c r="B701" t="s">
        <v>880</v>
      </c>
      <c r="C701" s="11" t="s">
        <v>2157</v>
      </c>
      <c r="D701" t="s">
        <v>176</v>
      </c>
      <c r="E701">
        <v>0.99241891193200005</v>
      </c>
      <c r="F701">
        <v>1.0536000000000001</v>
      </c>
      <c r="G701">
        <v>1</v>
      </c>
      <c r="H701">
        <v>1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</row>
    <row r="702" spans="2:16">
      <c r="B702" t="s">
        <v>881</v>
      </c>
      <c r="C702" s="11" t="s">
        <v>2158</v>
      </c>
      <c r="D702" t="s">
        <v>176</v>
      </c>
      <c r="E702">
        <v>1.06345</v>
      </c>
      <c r="F702">
        <v>0.86402000000000001</v>
      </c>
      <c r="G702">
        <v>1</v>
      </c>
      <c r="H702">
        <v>1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</row>
    <row r="703" spans="2:16">
      <c r="B703" t="s">
        <v>882</v>
      </c>
      <c r="C703" s="11" t="s">
        <v>2159</v>
      </c>
      <c r="D703" t="s">
        <v>176</v>
      </c>
      <c r="E703">
        <v>1</v>
      </c>
      <c r="F703">
        <v>0.99770000000000003</v>
      </c>
      <c r="G703">
        <v>1</v>
      </c>
      <c r="H703">
        <v>1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</row>
    <row r="704" spans="2:16">
      <c r="B704" t="s">
        <v>883</v>
      </c>
      <c r="C704" s="11" t="s">
        <v>2160</v>
      </c>
      <c r="D704" t="s">
        <v>176</v>
      </c>
      <c r="E704">
        <v>1.0146103896100001</v>
      </c>
      <c r="F704">
        <v>0.95650000000000002</v>
      </c>
      <c r="G704">
        <v>1</v>
      </c>
      <c r="H704">
        <v>1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</row>
    <row r="705" spans="2:39">
      <c r="B705" t="s">
        <v>884</v>
      </c>
      <c r="C705" s="11" t="s">
        <v>2161</v>
      </c>
      <c r="D705" t="s">
        <v>176</v>
      </c>
      <c r="E705">
        <v>1.026377912347</v>
      </c>
      <c r="F705">
        <v>0.91849999999999998</v>
      </c>
      <c r="G705">
        <v>1</v>
      </c>
      <c r="H705">
        <v>1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</row>
    <row r="706" spans="2:39">
      <c r="B706" t="s">
        <v>885</v>
      </c>
      <c r="C706" s="11" t="s">
        <v>2162</v>
      </c>
      <c r="D706" t="s">
        <v>176</v>
      </c>
      <c r="E706">
        <v>1.024275325207</v>
      </c>
      <c r="F706">
        <v>0.96150000000000002</v>
      </c>
      <c r="G706">
        <v>1</v>
      </c>
      <c r="H706">
        <v>1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</row>
    <row r="707" spans="2:39">
      <c r="B707" t="s">
        <v>886</v>
      </c>
      <c r="C707" s="11" t="s">
        <v>2163</v>
      </c>
      <c r="D707" t="s">
        <v>176</v>
      </c>
      <c r="E707">
        <v>1</v>
      </c>
      <c r="F707">
        <v>1.0044</v>
      </c>
      <c r="G707">
        <v>1</v>
      </c>
      <c r="H707">
        <v>1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</row>
    <row r="708" spans="2:39">
      <c r="B708" t="s">
        <v>887</v>
      </c>
      <c r="C708" s="11" t="s">
        <v>2164</v>
      </c>
      <c r="D708" t="s">
        <v>176</v>
      </c>
      <c r="E708">
        <v>1</v>
      </c>
      <c r="F708">
        <v>1.0122</v>
      </c>
      <c r="G708">
        <v>1</v>
      </c>
      <c r="H708">
        <v>1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</row>
    <row r="709" spans="2:39">
      <c r="B709" t="s">
        <v>888</v>
      </c>
      <c r="C709" s="11" t="s">
        <v>2165</v>
      </c>
      <c r="D709" t="s">
        <v>176</v>
      </c>
      <c r="E709">
        <v>0.99785999999999997</v>
      </c>
      <c r="F709">
        <v>0.93067</v>
      </c>
      <c r="G709">
        <v>1</v>
      </c>
      <c r="H709">
        <v>1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</row>
    <row r="710" spans="2:39">
      <c r="B710" t="s">
        <v>889</v>
      </c>
      <c r="C710" s="11" t="s">
        <v>2166</v>
      </c>
      <c r="D710" t="s">
        <v>176</v>
      </c>
      <c r="E710">
        <v>1</v>
      </c>
      <c r="F710">
        <v>0.99619999999999997</v>
      </c>
      <c r="G710">
        <v>1</v>
      </c>
      <c r="H710">
        <v>1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</row>
    <row r="711" spans="2:39">
      <c r="B711" t="s">
        <v>890</v>
      </c>
      <c r="C711" s="11" t="s">
        <v>2167</v>
      </c>
      <c r="D711" t="s">
        <v>176</v>
      </c>
      <c r="E711">
        <v>1</v>
      </c>
      <c r="F711">
        <v>0.99529999999999996</v>
      </c>
      <c r="G711">
        <v>1</v>
      </c>
      <c r="H711">
        <v>1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</row>
    <row r="712" spans="2:39">
      <c r="B712" t="s">
        <v>891</v>
      </c>
      <c r="C712" s="11" t="s">
        <v>2168</v>
      </c>
      <c r="D712" t="s">
        <v>176</v>
      </c>
      <c r="E712">
        <v>1.02</v>
      </c>
      <c r="F712">
        <v>0.90400000000000003</v>
      </c>
      <c r="G712">
        <v>1</v>
      </c>
      <c r="H712">
        <v>1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</row>
    <row r="713" spans="2:39" hidden="1">
      <c r="B713" t="s">
        <v>892</v>
      </c>
      <c r="C713" s="11" t="s">
        <v>2169</v>
      </c>
      <c r="D713" t="s">
        <v>168</v>
      </c>
      <c r="E713">
        <v>1</v>
      </c>
      <c r="F713">
        <v>1.0007922010000001</v>
      </c>
      <c r="G713">
        <v>1</v>
      </c>
      <c r="H713">
        <v>1.002728434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R713">
        <v>460.35</v>
      </c>
      <c r="S713">
        <v>456.82750002211912</v>
      </c>
      <c r="T713">
        <v>453.30500003932286</v>
      </c>
      <c r="U713">
        <v>449.78250005161112</v>
      </c>
      <c r="V713">
        <v>446.26000005898419</v>
      </c>
      <c r="W713">
        <v>442.73750006144184</v>
      </c>
      <c r="X713">
        <v>439.21500005898417</v>
      </c>
      <c r="Y713">
        <v>435.6925000516112</v>
      </c>
      <c r="Z713">
        <v>432.17000003932276</v>
      </c>
      <c r="AA713">
        <v>428.64750002211906</v>
      </c>
      <c r="AB713">
        <v>425.125</v>
      </c>
      <c r="AC713">
        <v>3.2709999999999999</v>
      </c>
      <c r="AD713">
        <v>3.3262778306411587</v>
      </c>
      <c r="AE713">
        <v>3.383453385442734</v>
      </c>
      <c r="AF713">
        <v>3.4426260961618858</v>
      </c>
      <c r="AG713">
        <v>3.5039024643681187</v>
      </c>
      <c r="AH713">
        <v>3.5673967011632786</v>
      </c>
      <c r="AI713">
        <v>3.6332314376447501</v>
      </c>
      <c r="AJ713">
        <v>3.7015385154102036</v>
      </c>
      <c r="AK713">
        <v>3.7724598678256935</v>
      </c>
      <c r="AL713">
        <v>3.8461485044523518</v>
      </c>
      <c r="AM713">
        <v>3.9227696129999998</v>
      </c>
    </row>
    <row r="714" spans="2:39" hidden="1">
      <c r="B714" t="s">
        <v>893</v>
      </c>
      <c r="C714" s="11" t="s">
        <v>2170</v>
      </c>
      <c r="D714" t="s">
        <v>168</v>
      </c>
      <c r="E714">
        <v>1</v>
      </c>
      <c r="F714">
        <v>1.0021436399999999</v>
      </c>
      <c r="G714">
        <v>1</v>
      </c>
      <c r="H714">
        <v>1.0181596500000001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R714">
        <v>469.65899999999999</v>
      </c>
      <c r="S714">
        <v>465.27821082388732</v>
      </c>
      <c r="T714">
        <v>460.88128590913294</v>
      </c>
      <c r="U714">
        <v>456.46822525573691</v>
      </c>
      <c r="V714">
        <v>452.0390288636994</v>
      </c>
      <c r="W714">
        <v>447.59369673302018</v>
      </c>
      <c r="X714">
        <v>443.13222886369937</v>
      </c>
      <c r="Y714">
        <v>438.65462525573696</v>
      </c>
      <c r="Z714">
        <v>434.16088590913296</v>
      </c>
      <c r="AA714">
        <v>429.6510108238873</v>
      </c>
      <c r="AB714">
        <v>425.125</v>
      </c>
      <c r="AC714">
        <v>3.2599099999999996</v>
      </c>
      <c r="AD714">
        <v>3.3074800242780351</v>
      </c>
      <c r="AE714">
        <v>3.3583916341861211</v>
      </c>
      <c r="AF714">
        <v>3.4128910179123118</v>
      </c>
      <c r="AG714">
        <v>3.4712531361993277</v>
      </c>
      <c r="AH714">
        <v>3.5337858055760742</v>
      </c>
      <c r="AI714">
        <v>3.6008345128869026</v>
      </c>
      <c r="AJ714">
        <v>3.6727881174078645</v>
      </c>
      <c r="AK714">
        <v>3.7500856363189996</v>
      </c>
      <c r="AL714">
        <v>3.8332243603567839</v>
      </c>
      <c r="AM714">
        <v>3.9227696129999998</v>
      </c>
    </row>
    <row r="715" spans="2:39">
      <c r="B715" t="s">
        <v>894</v>
      </c>
      <c r="C715" s="11" t="s">
        <v>2171</v>
      </c>
      <c r="D715" t="s">
        <v>176</v>
      </c>
      <c r="E715">
        <v>1.0028999999999999</v>
      </c>
      <c r="F715">
        <v>0.99168000000000001</v>
      </c>
      <c r="G715">
        <v>1</v>
      </c>
      <c r="H715">
        <v>1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</row>
    <row r="716" spans="2:39">
      <c r="B716" t="s">
        <v>895</v>
      </c>
      <c r="C716" s="11" t="s">
        <v>2172</v>
      </c>
      <c r="D716" t="s">
        <v>176</v>
      </c>
      <c r="E716">
        <v>1.0161568946249999</v>
      </c>
      <c r="F716">
        <v>0.94520000000000004</v>
      </c>
      <c r="G716">
        <v>1</v>
      </c>
      <c r="H716">
        <v>0.89059999999999995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</row>
    <row r="717" spans="2:39" hidden="1">
      <c r="B717" t="s">
        <v>896</v>
      </c>
      <c r="C717" s="11" t="s">
        <v>2173</v>
      </c>
      <c r="D717" t="s">
        <v>168</v>
      </c>
      <c r="E717">
        <v>1.0369999999999999</v>
      </c>
      <c r="F717">
        <v>0.872</v>
      </c>
      <c r="G717">
        <v>1</v>
      </c>
      <c r="H717">
        <v>1</v>
      </c>
      <c r="I717">
        <v>1.0680000000000001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R717">
        <v>513.38</v>
      </c>
      <c r="S717">
        <v>495.56082792963787</v>
      </c>
      <c r="T717">
        <v>478.74402521952288</v>
      </c>
      <c r="U717">
        <v>463.32244990172535</v>
      </c>
      <c r="V717">
        <v>449.67746289197328</v>
      </c>
      <c r="W717">
        <v>438.17934551837061</v>
      </c>
      <c r="X717">
        <v>429.18769898577978</v>
      </c>
      <c r="Y717">
        <v>423.05182668114651</v>
      </c>
      <c r="Z717">
        <v>420.11110017357134</v>
      </c>
      <c r="AA717">
        <v>420.69530971472091</v>
      </c>
      <c r="AB717">
        <v>425.125</v>
      </c>
      <c r="AC717">
        <v>8.7851700000000008</v>
      </c>
      <c r="AD717">
        <v>7.9207041860606111</v>
      </c>
      <c r="AE717">
        <v>7.1916931162544078</v>
      </c>
      <c r="AF717">
        <v>6.5693556109583247</v>
      </c>
      <c r="AG717">
        <v>6.0324818564086611</v>
      </c>
      <c r="AH717">
        <v>5.5651005161422047</v>
      </c>
      <c r="AI717">
        <v>5.1549580618166324</v>
      </c>
      <c r="AJ717">
        <v>4.7924985331043128</v>
      </c>
      <c r="AK717">
        <v>4.4701616083934415</v>
      </c>
      <c r="AL717">
        <v>4.1818888675371335</v>
      </c>
      <c r="AM717">
        <v>3.9227696129999998</v>
      </c>
    </row>
    <row r="718" spans="2:39" hidden="1">
      <c r="B718" t="s">
        <v>897</v>
      </c>
      <c r="C718" s="11" t="s">
        <v>2174</v>
      </c>
      <c r="D718" t="s">
        <v>168</v>
      </c>
      <c r="E718">
        <v>1</v>
      </c>
      <c r="F718">
        <v>1.0091570599999999</v>
      </c>
      <c r="G718">
        <v>1</v>
      </c>
      <c r="H718">
        <v>1.0349952840000001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R718">
        <v>507.82</v>
      </c>
      <c r="S718">
        <v>499.98584730009469</v>
      </c>
      <c r="T718">
        <v>492.05495075572389</v>
      </c>
      <c r="U718">
        <v>484.02731036688749</v>
      </c>
      <c r="V718">
        <v>475.90292613358577</v>
      </c>
      <c r="W718">
        <v>467.68179805581849</v>
      </c>
      <c r="X718">
        <v>459.36392613358572</v>
      </c>
      <c r="Y718">
        <v>450.94931036688752</v>
      </c>
      <c r="Z718">
        <v>442.43795075572382</v>
      </c>
      <c r="AA718">
        <v>433.82984730009468</v>
      </c>
      <c r="AB718">
        <v>425.125</v>
      </c>
      <c r="AC718">
        <v>2.706</v>
      </c>
      <c r="AD718">
        <v>2.7824606302528165</v>
      </c>
      <c r="AE718">
        <v>2.8657524095895801</v>
      </c>
      <c r="AF718">
        <v>2.9567229725558755</v>
      </c>
      <c r="AG718">
        <v>3.0563706254900067</v>
      </c>
      <c r="AH718">
        <v>3.1658791373172916</v>
      </c>
      <c r="AI718">
        <v>3.2866626529035474</v>
      </c>
      <c r="AJ718">
        <v>3.4204243389692737</v>
      </c>
      <c r="AK718">
        <v>3.5692339230047798</v>
      </c>
      <c r="AL718">
        <v>3.7356316276792447</v>
      </c>
      <c r="AM718">
        <v>3.9227696129999998</v>
      </c>
    </row>
    <row r="719" spans="2:39">
      <c r="B719" t="s">
        <v>898</v>
      </c>
      <c r="C719" s="11" t="s">
        <v>2175</v>
      </c>
      <c r="D719" t="s">
        <v>176</v>
      </c>
      <c r="E719">
        <v>1.03</v>
      </c>
      <c r="F719">
        <v>0.95</v>
      </c>
      <c r="G719">
        <v>1</v>
      </c>
      <c r="H719">
        <v>1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</row>
    <row r="720" spans="2:39">
      <c r="B720" t="s">
        <v>899</v>
      </c>
      <c r="C720" s="11" t="s">
        <v>2176</v>
      </c>
      <c r="D720" t="s">
        <v>176</v>
      </c>
      <c r="E720">
        <v>1</v>
      </c>
      <c r="F720">
        <v>1</v>
      </c>
      <c r="G720">
        <v>1</v>
      </c>
      <c r="H720">
        <v>1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</row>
    <row r="721" spans="2:39">
      <c r="B721" t="s">
        <v>900</v>
      </c>
      <c r="C721" s="11" t="s">
        <v>2177</v>
      </c>
      <c r="D721" t="s">
        <v>176</v>
      </c>
      <c r="E721">
        <v>1</v>
      </c>
      <c r="F721">
        <v>1.0266999999999999</v>
      </c>
      <c r="G721">
        <v>1</v>
      </c>
      <c r="H721">
        <v>1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</row>
    <row r="722" spans="2:39" hidden="1">
      <c r="B722" t="s">
        <v>901</v>
      </c>
      <c r="C722" s="11" t="s">
        <v>2178</v>
      </c>
      <c r="D722" t="s">
        <v>168</v>
      </c>
      <c r="E722">
        <v>1</v>
      </c>
      <c r="F722">
        <v>1.0212833779999999</v>
      </c>
      <c r="G722">
        <v>1</v>
      </c>
      <c r="H722">
        <v>1.0191742269999999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R722">
        <v>540.20000000000005</v>
      </c>
      <c r="S722">
        <v>529.90888311835852</v>
      </c>
      <c r="T722">
        <v>519.34745887708186</v>
      </c>
      <c r="U722">
        <v>508.51572727616974</v>
      </c>
      <c r="V722">
        <v>497.41368831562249</v>
      </c>
      <c r="W722">
        <v>486.04134199544012</v>
      </c>
      <c r="X722">
        <v>474.39868831562251</v>
      </c>
      <c r="Y722">
        <v>462.48572727616971</v>
      </c>
      <c r="Z722">
        <v>450.30245887708168</v>
      </c>
      <c r="AA722">
        <v>437.84888311835846</v>
      </c>
      <c r="AB722">
        <v>425.125</v>
      </c>
      <c r="AC722">
        <v>2.33</v>
      </c>
      <c r="AD722">
        <v>2.4297913152111552</v>
      </c>
      <c r="AE722">
        <v>2.5382261981962366</v>
      </c>
      <c r="AF722">
        <v>2.6564773104024635</v>
      </c>
      <c r="AG722">
        <v>2.7859394782878253</v>
      </c>
      <c r="AH722">
        <v>2.9282849215412017</v>
      </c>
      <c r="AI722">
        <v>3.0855358183545927</v>
      </c>
      <c r="AJ722">
        <v>3.2601609077393059</v>
      </c>
      <c r="AK722">
        <v>3.455205960929967</v>
      </c>
      <c r="AL722">
        <v>3.6744728353571356</v>
      </c>
      <c r="AM722">
        <v>3.9227696129999998</v>
      </c>
    </row>
    <row r="723" spans="2:39" hidden="1">
      <c r="B723" t="s">
        <v>902</v>
      </c>
      <c r="C723" s="11" t="s">
        <v>2179</v>
      </c>
      <c r="D723" t="s">
        <v>168</v>
      </c>
      <c r="E723">
        <v>1</v>
      </c>
      <c r="F723">
        <v>0.61551268199999998</v>
      </c>
      <c r="G723">
        <v>1</v>
      </c>
      <c r="H723">
        <v>1.2236387630000001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R723">
        <v>647.096</v>
      </c>
      <c r="S723">
        <v>586.5091859928616</v>
      </c>
      <c r="T723">
        <v>534.45341954286505</v>
      </c>
      <c r="U723">
        <v>490.92870065001011</v>
      </c>
      <c r="V723">
        <v>455.93502931429737</v>
      </c>
      <c r="W723">
        <v>429.47240553572641</v>
      </c>
      <c r="X723">
        <v>411.54082931429741</v>
      </c>
      <c r="Y723">
        <v>402.1403006500102</v>
      </c>
      <c r="Z723">
        <v>401.2708195428649</v>
      </c>
      <c r="AA723">
        <v>408.93238599286155</v>
      </c>
      <c r="AB723">
        <v>425.125</v>
      </c>
      <c r="AC723">
        <v>17.873727995599999</v>
      </c>
      <c r="AD723">
        <v>13.022955030033833</v>
      </c>
      <c r="AE723">
        <v>10.265086484836619</v>
      </c>
      <c r="AF723">
        <v>8.4862017975818453</v>
      </c>
      <c r="AG723">
        <v>7.2437649831234801</v>
      </c>
      <c r="AH723">
        <v>6.327038802591761</v>
      </c>
      <c r="AI723">
        <v>5.6228885176348298</v>
      </c>
      <c r="AJ723">
        <v>5.0651401090249193</v>
      </c>
      <c r="AK723">
        <v>4.6125051309776222</v>
      </c>
      <c r="AL723">
        <v>4.2378878720070068</v>
      </c>
      <c r="AM723">
        <v>3.9227696129999998</v>
      </c>
    </row>
    <row r="724" spans="2:39">
      <c r="B724" t="s">
        <v>903</v>
      </c>
      <c r="C724" s="11" t="s">
        <v>2180</v>
      </c>
      <c r="D724" t="s">
        <v>176</v>
      </c>
      <c r="E724">
        <v>1</v>
      </c>
      <c r="F724">
        <v>1.02</v>
      </c>
      <c r="G724">
        <v>1</v>
      </c>
      <c r="H724">
        <v>1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</row>
    <row r="725" spans="2:39">
      <c r="B725" t="s">
        <v>904</v>
      </c>
      <c r="C725" s="11" t="s">
        <v>2181</v>
      </c>
      <c r="D725" t="s">
        <v>176</v>
      </c>
      <c r="E725">
        <v>1</v>
      </c>
      <c r="F725">
        <v>1.02</v>
      </c>
      <c r="G725">
        <v>1</v>
      </c>
      <c r="H725">
        <v>1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</row>
    <row r="726" spans="2:39" hidden="1">
      <c r="B726" t="s">
        <v>905</v>
      </c>
      <c r="C726" s="11" t="s">
        <v>2182</v>
      </c>
      <c r="D726" t="s">
        <v>168</v>
      </c>
      <c r="E726">
        <v>1</v>
      </c>
      <c r="F726">
        <v>1.0331801060000001</v>
      </c>
      <c r="G726">
        <v>1</v>
      </c>
      <c r="H726">
        <v>1.046905515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R726">
        <v>568.74</v>
      </c>
      <c r="S726">
        <v>556.37644704480044</v>
      </c>
      <c r="T726">
        <v>543.56890585742303</v>
      </c>
      <c r="U726">
        <v>530.31737643786755</v>
      </c>
      <c r="V726">
        <v>516.62185878613434</v>
      </c>
      <c r="W726">
        <v>502.48235290222328</v>
      </c>
      <c r="X726">
        <v>487.89885878613438</v>
      </c>
      <c r="Y726">
        <v>472.87137643786753</v>
      </c>
      <c r="Z726">
        <v>457.39990585742288</v>
      </c>
      <c r="AA726">
        <v>441.48444704480045</v>
      </c>
      <c r="AB726">
        <v>425.125</v>
      </c>
      <c r="AC726">
        <v>2.0310000000000001</v>
      </c>
      <c r="AD726">
        <v>2.1306365608502298</v>
      </c>
      <c r="AE726">
        <v>2.2413564732019577</v>
      </c>
      <c r="AF726">
        <v>2.3651086316422525</v>
      </c>
      <c r="AG726">
        <v>2.5043274395944484</v>
      </c>
      <c r="AH726">
        <v>2.6620940357118812</v>
      </c>
      <c r="AI726">
        <v>2.8423663384328712</v>
      </c>
      <c r="AJ726">
        <v>3.0503148036226948</v>
      </c>
      <c r="AK726">
        <v>3.2928252711095594</v>
      </c>
      <c r="AL726">
        <v>3.5792746838435709</v>
      </c>
      <c r="AM726">
        <v>3.9227696129999998</v>
      </c>
    </row>
    <row r="727" spans="2:39" hidden="1">
      <c r="B727" t="s">
        <v>906</v>
      </c>
      <c r="C727" s="11" t="s">
        <v>2183</v>
      </c>
      <c r="D727" t="s">
        <v>168</v>
      </c>
      <c r="E727">
        <v>1</v>
      </c>
      <c r="F727">
        <v>1.0140964480000001</v>
      </c>
      <c r="G727">
        <v>1</v>
      </c>
      <c r="H727">
        <v>1.0492191369999999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R727">
        <v>594.54999999999995</v>
      </c>
      <c r="S727">
        <v>577.60749996578045</v>
      </c>
      <c r="T727">
        <v>560.66499993916534</v>
      </c>
      <c r="U727">
        <v>543.72249992015441</v>
      </c>
      <c r="V727">
        <v>526.77999990874787</v>
      </c>
      <c r="W727">
        <v>509.83749990494567</v>
      </c>
      <c r="X727">
        <v>492.89499990874788</v>
      </c>
      <c r="Y727">
        <v>475.95249992015442</v>
      </c>
      <c r="Z727">
        <v>459.00999993916525</v>
      </c>
      <c r="AA727">
        <v>442.06749996578048</v>
      </c>
      <c r="AB727">
        <v>425.125</v>
      </c>
      <c r="AC727">
        <v>1.8099999999999998</v>
      </c>
      <c r="AD727">
        <v>1.9130567929981328</v>
      </c>
      <c r="AE727">
        <v>2.0285521021791095</v>
      </c>
      <c r="AF727">
        <v>2.1588824671212605</v>
      </c>
      <c r="AG727">
        <v>2.3071023386231353</v>
      </c>
      <c r="AH727">
        <v>2.4771664819262047</v>
      </c>
      <c r="AI727">
        <v>2.6742880800511881</v>
      </c>
      <c r="AJ727">
        <v>2.9054825337136294</v>
      </c>
      <c r="AK727">
        <v>3.1804199287568942</v>
      </c>
      <c r="AL727">
        <v>3.5128119326662577</v>
      </c>
      <c r="AM727">
        <v>3.9227696129999998</v>
      </c>
    </row>
    <row r="728" spans="2:39" hidden="1">
      <c r="B728" t="s">
        <v>907</v>
      </c>
      <c r="C728" s="11" t="s">
        <v>2184</v>
      </c>
      <c r="D728" t="s">
        <v>168</v>
      </c>
      <c r="E728">
        <v>0.99368838599999998</v>
      </c>
      <c r="F728">
        <v>1.0764669179999999</v>
      </c>
      <c r="G728">
        <v>0.97695196799999995</v>
      </c>
      <c r="H728">
        <v>1.0278455289999999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R728">
        <v>617.70000000000005</v>
      </c>
      <c r="S728">
        <v>603.37924592919978</v>
      </c>
      <c r="T728">
        <v>588.18299493589063</v>
      </c>
      <c r="U728">
        <v>572.02889748133305</v>
      </c>
      <c r="V728">
        <v>554.83418743533912</v>
      </c>
      <c r="W728">
        <v>536.51567943860994</v>
      </c>
      <c r="X728">
        <v>516.98976624500858</v>
      </c>
      <c r="Y728">
        <v>496.17241604358674</v>
      </c>
      <c r="Z728">
        <v>473.97916976018917</v>
      </c>
      <c r="AA728">
        <v>450.32513833845007</v>
      </c>
      <c r="AB728">
        <v>425.125</v>
      </c>
      <c r="AC728">
        <v>1.6400000000000001</v>
      </c>
      <c r="AD728">
        <v>1.7533519698930278</v>
      </c>
      <c r="AE728">
        <v>1.8783047331176208</v>
      </c>
      <c r="AF728">
        <v>2.0172946071350637</v>
      </c>
      <c r="AG728">
        <v>2.1735906763029473</v>
      </c>
      <c r="AH728">
        <v>2.3516575116032143</v>
      </c>
      <c r="AI728">
        <v>2.557721095579947</v>
      </c>
      <c r="AJ728">
        <v>2.8006861775905056</v>
      </c>
      <c r="AK728">
        <v>3.0936915328056207</v>
      </c>
      <c r="AL728">
        <v>3.4568918054344739</v>
      </c>
      <c r="AM728">
        <v>3.9227696129999998</v>
      </c>
    </row>
    <row r="729" spans="2:39">
      <c r="B729" t="s">
        <v>908</v>
      </c>
      <c r="C729" s="11" t="s">
        <v>2185</v>
      </c>
      <c r="D729" t="s">
        <v>176</v>
      </c>
      <c r="E729">
        <v>1</v>
      </c>
      <c r="F729">
        <v>1.1499999999999999</v>
      </c>
      <c r="G729">
        <v>1</v>
      </c>
      <c r="H729">
        <v>1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</row>
    <row r="730" spans="2:39">
      <c r="B730" t="s">
        <v>909</v>
      </c>
      <c r="C730" s="11" t="s">
        <v>2186</v>
      </c>
      <c r="D730" t="s">
        <v>176</v>
      </c>
      <c r="E730">
        <v>0.93827000000000005</v>
      </c>
      <c r="F730">
        <v>1.21149</v>
      </c>
      <c r="G730">
        <v>1</v>
      </c>
      <c r="H730">
        <v>1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</row>
    <row r="731" spans="2:39">
      <c r="B731" t="s">
        <v>910</v>
      </c>
      <c r="C731" s="11" t="s">
        <v>2187</v>
      </c>
      <c r="D731" t="s">
        <v>176</v>
      </c>
      <c r="E731">
        <v>0.9667</v>
      </c>
      <c r="F731">
        <v>1</v>
      </c>
      <c r="G731">
        <v>1</v>
      </c>
      <c r="H731">
        <v>1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</row>
    <row r="732" spans="2:39">
      <c r="B732" t="s">
        <v>911</v>
      </c>
      <c r="C732" s="11" t="s">
        <v>2188</v>
      </c>
      <c r="D732" t="s">
        <v>176</v>
      </c>
      <c r="E732">
        <v>1.0152284263960001</v>
      </c>
      <c r="F732">
        <v>0.95040000000000002</v>
      </c>
      <c r="G732">
        <v>1</v>
      </c>
      <c r="H732">
        <v>1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</row>
    <row r="733" spans="2:39">
      <c r="B733" t="s">
        <v>912</v>
      </c>
      <c r="C733" s="11" t="s">
        <v>2189</v>
      </c>
      <c r="D733" t="s">
        <v>176</v>
      </c>
      <c r="E733">
        <v>1.0228086325050001</v>
      </c>
      <c r="F733">
        <v>0.90610000000000002</v>
      </c>
      <c r="G733">
        <v>1</v>
      </c>
      <c r="H733">
        <v>1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</row>
    <row r="734" spans="2:39">
      <c r="B734" t="s">
        <v>913</v>
      </c>
      <c r="C734" s="11" t="s">
        <v>2190</v>
      </c>
      <c r="D734" t="s">
        <v>176</v>
      </c>
      <c r="E734">
        <v>1.0262725779969999</v>
      </c>
      <c r="F734">
        <v>0.95169999999999999</v>
      </c>
      <c r="G734">
        <v>1</v>
      </c>
      <c r="H734">
        <v>1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</row>
    <row r="735" spans="2:39">
      <c r="B735" t="s">
        <v>914</v>
      </c>
      <c r="C735" s="11" t="s">
        <v>2191</v>
      </c>
      <c r="D735" t="s">
        <v>176</v>
      </c>
      <c r="E735">
        <v>1</v>
      </c>
      <c r="F735">
        <v>0.96090900000000001</v>
      </c>
      <c r="G735">
        <v>1</v>
      </c>
      <c r="H735">
        <v>1.0139359999999999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</row>
    <row r="736" spans="2:39">
      <c r="B736" t="s">
        <v>915</v>
      </c>
      <c r="C736" s="11" t="s">
        <v>2192</v>
      </c>
      <c r="D736" t="s">
        <v>176</v>
      </c>
      <c r="E736">
        <v>1.0035525761190001</v>
      </c>
      <c r="F736">
        <v>0.97011000000000003</v>
      </c>
      <c r="G736">
        <v>1</v>
      </c>
      <c r="H736">
        <v>1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</row>
    <row r="737" spans="2:39">
      <c r="B737" t="s">
        <v>916</v>
      </c>
      <c r="C737" s="11" t="s">
        <v>2193</v>
      </c>
      <c r="D737" t="s">
        <v>176</v>
      </c>
      <c r="E737">
        <v>1</v>
      </c>
      <c r="F737">
        <v>1.0031258000000001</v>
      </c>
      <c r="G737">
        <v>1</v>
      </c>
      <c r="H737">
        <v>1.0013426000000001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</row>
    <row r="738" spans="2:39">
      <c r="B738" t="s">
        <v>917</v>
      </c>
      <c r="C738" s="11" t="s">
        <v>2194</v>
      </c>
      <c r="D738" t="s">
        <v>176</v>
      </c>
      <c r="E738">
        <v>1.0037238153550001</v>
      </c>
      <c r="F738">
        <v>0.98179000000000005</v>
      </c>
      <c r="G738">
        <v>1</v>
      </c>
      <c r="H738">
        <v>1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</row>
    <row r="739" spans="2:39">
      <c r="B739" t="s">
        <v>918</v>
      </c>
      <c r="C739" s="11" t="s">
        <v>2195</v>
      </c>
      <c r="D739" t="s">
        <v>176</v>
      </c>
      <c r="E739">
        <v>1.048646721406</v>
      </c>
      <c r="F739">
        <v>0.93496999999999997</v>
      </c>
      <c r="G739">
        <v>1</v>
      </c>
      <c r="H739">
        <v>1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</row>
    <row r="740" spans="2:39">
      <c r="B740" t="s">
        <v>919</v>
      </c>
      <c r="C740" s="11" t="s">
        <v>2196</v>
      </c>
      <c r="D740" t="s">
        <v>176</v>
      </c>
      <c r="E740">
        <v>0.99882139075900001</v>
      </c>
      <c r="F740">
        <v>0.95787999999999995</v>
      </c>
      <c r="G740">
        <v>1</v>
      </c>
      <c r="H740">
        <v>1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</row>
    <row r="741" spans="2:39">
      <c r="B741" t="s">
        <v>920</v>
      </c>
      <c r="C741" s="11" t="s">
        <v>2197</v>
      </c>
      <c r="D741" t="s">
        <v>176</v>
      </c>
      <c r="E741">
        <v>1.0079121100640001</v>
      </c>
      <c r="F741">
        <v>0.99663000000000002</v>
      </c>
      <c r="G741">
        <v>1</v>
      </c>
      <c r="H741">
        <v>1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</row>
    <row r="742" spans="2:39">
      <c r="B742" t="s">
        <v>921</v>
      </c>
      <c r="C742" s="11" t="s">
        <v>2198</v>
      </c>
      <c r="D742" t="s">
        <v>176</v>
      </c>
      <c r="E742">
        <v>1.01471334348</v>
      </c>
      <c r="F742">
        <v>0.95209999999999995</v>
      </c>
      <c r="G742">
        <v>1</v>
      </c>
      <c r="H742">
        <v>1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</row>
    <row r="743" spans="2:39">
      <c r="B743" t="s">
        <v>922</v>
      </c>
      <c r="C743" s="11" t="s">
        <v>2199</v>
      </c>
      <c r="D743" t="s">
        <v>176</v>
      </c>
      <c r="E743">
        <v>1.0236462278639999</v>
      </c>
      <c r="F743">
        <v>0.90649999999999997</v>
      </c>
      <c r="G743">
        <v>1</v>
      </c>
      <c r="H743">
        <v>1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</row>
    <row r="744" spans="2:39">
      <c r="B744" t="s">
        <v>923</v>
      </c>
      <c r="C744" s="11" t="s">
        <v>2200</v>
      </c>
      <c r="D744" t="s">
        <v>176</v>
      </c>
      <c r="E744">
        <v>1.027010372805</v>
      </c>
      <c r="F744">
        <v>0.94889999999999997</v>
      </c>
      <c r="G744">
        <v>1</v>
      </c>
      <c r="H744">
        <v>1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</row>
    <row r="745" spans="2:39">
      <c r="B745" t="s">
        <v>924</v>
      </c>
      <c r="C745" s="11" t="s">
        <v>2201</v>
      </c>
      <c r="D745" t="s">
        <v>176</v>
      </c>
      <c r="E745">
        <v>0.96920825377700004</v>
      </c>
      <c r="F745">
        <v>0.91281999999999996</v>
      </c>
      <c r="G745">
        <v>1</v>
      </c>
      <c r="H745">
        <v>1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</row>
    <row r="746" spans="2:39">
      <c r="B746" t="s">
        <v>925</v>
      </c>
      <c r="C746" s="11" t="s">
        <v>2202</v>
      </c>
      <c r="D746" t="s">
        <v>176</v>
      </c>
      <c r="E746">
        <v>1.0205435414899999</v>
      </c>
      <c r="F746">
        <v>0.90691999999999995</v>
      </c>
      <c r="G746">
        <v>1</v>
      </c>
      <c r="H746">
        <v>1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</row>
    <row r="747" spans="2:39">
      <c r="B747" t="s">
        <v>926</v>
      </c>
      <c r="C747" s="11" t="s">
        <v>2203</v>
      </c>
      <c r="D747" t="s">
        <v>176</v>
      </c>
      <c r="E747">
        <v>1.0005000499250001</v>
      </c>
      <c r="F747">
        <v>1.0023599999999999</v>
      </c>
      <c r="G747">
        <v>1</v>
      </c>
      <c r="H747">
        <v>1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</row>
    <row r="748" spans="2:39">
      <c r="B748" t="s">
        <v>927</v>
      </c>
      <c r="C748" s="11" t="s">
        <v>2204</v>
      </c>
      <c r="D748" t="s">
        <v>176</v>
      </c>
      <c r="E748">
        <v>1.011756611829</v>
      </c>
      <c r="F748">
        <v>0.90432999999999997</v>
      </c>
      <c r="G748">
        <v>1</v>
      </c>
      <c r="H748">
        <v>1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</row>
    <row r="749" spans="2:39">
      <c r="B749" t="s">
        <v>928</v>
      </c>
      <c r="C749" s="11" t="s">
        <v>2205</v>
      </c>
      <c r="D749" t="s">
        <v>176</v>
      </c>
      <c r="E749">
        <v>1</v>
      </c>
      <c r="F749">
        <v>0.9</v>
      </c>
      <c r="G749">
        <v>1</v>
      </c>
      <c r="H749">
        <v>1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</row>
    <row r="750" spans="2:39">
      <c r="B750" t="s">
        <v>929</v>
      </c>
      <c r="C750" s="11" t="s">
        <v>2206</v>
      </c>
      <c r="D750" t="s">
        <v>176</v>
      </c>
      <c r="E750">
        <v>1.0999599614569999</v>
      </c>
      <c r="F750">
        <v>0.95847000000000004</v>
      </c>
      <c r="G750">
        <v>1</v>
      </c>
      <c r="H750">
        <v>1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</row>
    <row r="751" spans="2:39" hidden="1">
      <c r="B751" t="s">
        <v>930</v>
      </c>
      <c r="C751" s="11" t="s">
        <v>2207</v>
      </c>
      <c r="D751" t="s">
        <v>168</v>
      </c>
      <c r="E751">
        <v>1</v>
      </c>
      <c r="F751">
        <v>1.0000505369999999</v>
      </c>
      <c r="G751">
        <v>1</v>
      </c>
      <c r="H751">
        <v>1.000024335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R751">
        <v>469.65899999999999</v>
      </c>
      <c r="S751">
        <v>468.72813660755071</v>
      </c>
      <c r="T751">
        <v>467.79726508009014</v>
      </c>
      <c r="U751">
        <v>466.86638541761823</v>
      </c>
      <c r="V751">
        <v>465.93549762013521</v>
      </c>
      <c r="W751">
        <v>465.00460168764084</v>
      </c>
      <c r="X751">
        <v>464.07369762013519</v>
      </c>
      <c r="Y751">
        <v>463.14278541761826</v>
      </c>
      <c r="Z751">
        <v>462.21186508009021</v>
      </c>
      <c r="AA751">
        <v>461.2809366075507</v>
      </c>
      <c r="AB751">
        <v>460.35</v>
      </c>
      <c r="AC751">
        <v>3.2599099999999996</v>
      </c>
      <c r="AD751">
        <v>3.2610019135342498</v>
      </c>
      <c r="AE751">
        <v>3.2620976055682198</v>
      </c>
      <c r="AF751">
        <v>3.2631970829830506</v>
      </c>
      <c r="AG751">
        <v>3.2643003526903756</v>
      </c>
      <c r="AH751">
        <v>3.2654074216324411</v>
      </c>
      <c r="AI751">
        <v>3.2665182967822215</v>
      </c>
      <c r="AJ751">
        <v>3.2676329851435328</v>
      </c>
      <c r="AK751">
        <v>3.2687514937511581</v>
      </c>
      <c r="AL751">
        <v>3.2698738296709591</v>
      </c>
      <c r="AM751">
        <v>3.2709999999999999</v>
      </c>
    </row>
    <row r="752" spans="2:39">
      <c r="B752" t="s">
        <v>931</v>
      </c>
      <c r="C752" s="11" t="s">
        <v>2208</v>
      </c>
      <c r="D752" t="s">
        <v>176</v>
      </c>
      <c r="E752">
        <v>1.01335</v>
      </c>
      <c r="F752">
        <v>0.92379999999999995</v>
      </c>
      <c r="G752">
        <v>1</v>
      </c>
      <c r="H752">
        <v>1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</row>
    <row r="753" spans="2:39">
      <c r="B753" t="s">
        <v>932</v>
      </c>
      <c r="C753" s="11" t="s">
        <v>2209</v>
      </c>
      <c r="D753" t="s">
        <v>176</v>
      </c>
      <c r="E753">
        <v>1</v>
      </c>
      <c r="F753">
        <v>0.91769999999999996</v>
      </c>
      <c r="G753">
        <v>1</v>
      </c>
      <c r="H753">
        <v>1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</row>
    <row r="754" spans="2:39" hidden="1">
      <c r="B754" t="s">
        <v>933</v>
      </c>
      <c r="C754" s="11" t="s">
        <v>2210</v>
      </c>
      <c r="D754" t="s">
        <v>471</v>
      </c>
      <c r="E754">
        <v>1</v>
      </c>
      <c r="F754">
        <v>0.85415810000000003</v>
      </c>
      <c r="G754">
        <v>1</v>
      </c>
      <c r="H754">
        <v>1.293531</v>
      </c>
      <c r="I754">
        <v>43.215000000000003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</row>
    <row r="755" spans="2:39" hidden="1">
      <c r="B755" t="s">
        <v>934</v>
      </c>
      <c r="C755" s="11" t="s">
        <v>2211</v>
      </c>
      <c r="D755" t="s">
        <v>168</v>
      </c>
      <c r="E755">
        <v>1</v>
      </c>
      <c r="F755">
        <v>1.0012041739999999</v>
      </c>
      <c r="G755">
        <v>1</v>
      </c>
      <c r="H755">
        <v>1.002995876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R755">
        <v>507.82</v>
      </c>
      <c r="S755">
        <v>503.07300002952746</v>
      </c>
      <c r="T755">
        <v>498.32600005249333</v>
      </c>
      <c r="U755">
        <v>493.57900006889736</v>
      </c>
      <c r="V755">
        <v>488.83200007873995</v>
      </c>
      <c r="W755">
        <v>484.08500008202077</v>
      </c>
      <c r="X755">
        <v>479.33800007873992</v>
      </c>
      <c r="Y755">
        <v>474.59100006889747</v>
      </c>
      <c r="Z755">
        <v>469.84400005249336</v>
      </c>
      <c r="AA755">
        <v>465.09700002952746</v>
      </c>
      <c r="AB755">
        <v>460.35</v>
      </c>
      <c r="AC755">
        <v>2.706</v>
      </c>
      <c r="AD755">
        <v>2.7535616412804247</v>
      </c>
      <c r="AE755">
        <v>2.802825266766118</v>
      </c>
      <c r="AF755">
        <v>2.8538838986136148</v>
      </c>
      <c r="AG755">
        <v>2.9068374636206933</v>
      </c>
      <c r="AH755">
        <v>2.9617934459668223</v>
      </c>
      <c r="AI755">
        <v>3.0188676154299787</v>
      </c>
      <c r="AJ755">
        <v>3.0781848414618391</v>
      </c>
      <c r="AK755">
        <v>3.1398800051680835</v>
      </c>
      <c r="AL755">
        <v>3.204099023211838</v>
      </c>
      <c r="AM755">
        <v>3.2709999999999999</v>
      </c>
    </row>
    <row r="756" spans="2:39">
      <c r="B756" t="s">
        <v>935</v>
      </c>
      <c r="C756" s="11" t="s">
        <v>2212</v>
      </c>
      <c r="D756" t="s">
        <v>176</v>
      </c>
      <c r="E756">
        <v>1.016</v>
      </c>
      <c r="F756">
        <v>0.93400000000000005</v>
      </c>
      <c r="G756">
        <v>1</v>
      </c>
      <c r="H756">
        <v>1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</row>
    <row r="757" spans="2:39">
      <c r="B757" t="s">
        <v>936</v>
      </c>
      <c r="C757" s="11" t="s">
        <v>2213</v>
      </c>
      <c r="D757" t="s">
        <v>176</v>
      </c>
      <c r="E757">
        <v>1</v>
      </c>
      <c r="F757">
        <v>0.99</v>
      </c>
      <c r="G757">
        <v>1</v>
      </c>
      <c r="H757">
        <v>1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</row>
    <row r="758" spans="2:39">
      <c r="B758" t="s">
        <v>937</v>
      </c>
      <c r="C758" s="11" t="s">
        <v>2214</v>
      </c>
      <c r="D758" t="s">
        <v>176</v>
      </c>
      <c r="E758">
        <v>1</v>
      </c>
      <c r="F758">
        <v>0.99609999999999999</v>
      </c>
      <c r="G758">
        <v>1</v>
      </c>
      <c r="H758">
        <v>1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</row>
    <row r="759" spans="2:39" hidden="1">
      <c r="B759" t="s">
        <v>938</v>
      </c>
      <c r="C759" s="11" t="s">
        <v>2215</v>
      </c>
      <c r="D759" t="s">
        <v>168</v>
      </c>
      <c r="E759">
        <v>1</v>
      </c>
      <c r="F759">
        <v>1.003194615</v>
      </c>
      <c r="G759">
        <v>1</v>
      </c>
      <c r="H759">
        <v>1.0099282060000001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R759">
        <v>540.20000000000005</v>
      </c>
      <c r="S759">
        <v>532.21453456934944</v>
      </c>
      <c r="T759">
        <v>524.22917256773235</v>
      </c>
      <c r="U759">
        <v>516.24391399514843</v>
      </c>
      <c r="V759">
        <v>508.25875885159832</v>
      </c>
      <c r="W759">
        <v>500.27370713708154</v>
      </c>
      <c r="X759">
        <v>492.28875885159829</v>
      </c>
      <c r="Y759">
        <v>484.30391399514849</v>
      </c>
      <c r="Z759">
        <v>476.31917256773227</v>
      </c>
      <c r="AA759">
        <v>468.33453456934933</v>
      </c>
      <c r="AB759">
        <v>460.35</v>
      </c>
      <c r="AC759">
        <v>2.33</v>
      </c>
      <c r="AD759">
        <v>2.398879409605926</v>
      </c>
      <c r="AE759">
        <v>2.4719872362281601</v>
      </c>
      <c r="AF759">
        <v>2.549725153518974</v>
      </c>
      <c r="AG759">
        <v>2.6325473741515797</v>
      </c>
      <c r="AH759">
        <v>2.7209695303618702</v>
      </c>
      <c r="AI759">
        <v>2.8155794187808629</v>
      </c>
      <c r="AJ759">
        <v>2.9170500827113046</v>
      </c>
      <c r="AK759">
        <v>3.0261558474055281</v>
      </c>
      <c r="AL759">
        <v>3.1437921164062956</v>
      </c>
      <c r="AM759">
        <v>3.2709999999999999</v>
      </c>
    </row>
    <row r="760" spans="2:39" hidden="1">
      <c r="B760" t="s">
        <v>939</v>
      </c>
      <c r="C760" s="11" t="s">
        <v>2216</v>
      </c>
      <c r="D760" t="s">
        <v>168</v>
      </c>
      <c r="E760">
        <v>1</v>
      </c>
      <c r="F760">
        <v>1</v>
      </c>
      <c r="G760">
        <v>1</v>
      </c>
      <c r="H760">
        <v>1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R760">
        <v>647.096</v>
      </c>
      <c r="S760">
        <v>626.99410631788737</v>
      </c>
      <c r="T760">
        <v>607.20938900957731</v>
      </c>
      <c r="U760">
        <v>587.74184807507004</v>
      </c>
      <c r="V760">
        <v>568.59148351436579</v>
      </c>
      <c r="W760">
        <v>549.75829532746434</v>
      </c>
      <c r="X760">
        <v>531.24228351436591</v>
      </c>
      <c r="Y760">
        <v>513.04344807507016</v>
      </c>
      <c r="Z760">
        <v>495.16178900957721</v>
      </c>
      <c r="AA760">
        <v>477.59730631788716</v>
      </c>
      <c r="AB760">
        <v>460.35</v>
      </c>
      <c r="AC760">
        <v>17.873727995599999</v>
      </c>
      <c r="AD760">
        <v>13.354660484996975</v>
      </c>
      <c r="AE760">
        <v>10.509093970885759</v>
      </c>
      <c r="AF760">
        <v>8.5635205471156404</v>
      </c>
      <c r="AG760">
        <v>7.1563319698748442</v>
      </c>
      <c r="AH760">
        <v>6.0960130164422006</v>
      </c>
      <c r="AI760">
        <v>5.2717546155020649</v>
      </c>
      <c r="AJ760">
        <v>4.6150590631552806</v>
      </c>
      <c r="AK760">
        <v>4.0813494083136197</v>
      </c>
      <c r="AL760">
        <v>3.6403969121060946</v>
      </c>
      <c r="AM760">
        <v>3.2709999999999999</v>
      </c>
    </row>
    <row r="761" spans="2:39">
      <c r="B761" t="s">
        <v>940</v>
      </c>
      <c r="C761" s="11" t="s">
        <v>2217</v>
      </c>
      <c r="D761" t="s">
        <v>176</v>
      </c>
      <c r="E761">
        <v>1</v>
      </c>
      <c r="F761">
        <v>1.0049999999999999</v>
      </c>
      <c r="G761">
        <v>1</v>
      </c>
      <c r="H761">
        <v>1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</row>
    <row r="762" spans="2:39">
      <c r="B762" t="s">
        <v>941</v>
      </c>
      <c r="C762" s="11" t="s">
        <v>2218</v>
      </c>
      <c r="D762" t="s">
        <v>176</v>
      </c>
      <c r="E762">
        <v>1</v>
      </c>
      <c r="F762">
        <v>1</v>
      </c>
      <c r="G762">
        <v>1</v>
      </c>
      <c r="H762">
        <v>1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</row>
    <row r="763" spans="2:39" hidden="1">
      <c r="B763" t="s">
        <v>942</v>
      </c>
      <c r="C763" s="11" t="s">
        <v>2219</v>
      </c>
      <c r="D763" t="s">
        <v>168</v>
      </c>
      <c r="E763">
        <v>1</v>
      </c>
      <c r="F763">
        <v>1.0056474799999999</v>
      </c>
      <c r="G763">
        <v>1</v>
      </c>
      <c r="H763">
        <v>1.0178805449999999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R763">
        <v>568.74</v>
      </c>
      <c r="S763">
        <v>557.90598358794</v>
      </c>
      <c r="T763">
        <v>547.07085971189326</v>
      </c>
      <c r="U763">
        <v>536.2346283718598</v>
      </c>
      <c r="V763">
        <v>525.39728956783972</v>
      </c>
      <c r="W763">
        <v>514.55884329983314</v>
      </c>
      <c r="X763">
        <v>503.71928956783972</v>
      </c>
      <c r="Y763">
        <v>492.8786283718598</v>
      </c>
      <c r="Z763">
        <v>482.03685971189321</v>
      </c>
      <c r="AA763">
        <v>471.19398358793995</v>
      </c>
      <c r="AB763">
        <v>460.35</v>
      </c>
      <c r="AC763">
        <v>2.0310000000000001</v>
      </c>
      <c r="AD763">
        <v>2.1113303899649396</v>
      </c>
      <c r="AE763">
        <v>2.1982037709390632</v>
      </c>
      <c r="AF763">
        <v>2.2924533843779114</v>
      </c>
      <c r="AG763">
        <v>2.3950602266700072</v>
      </c>
      <c r="AH763">
        <v>2.5071873192695628</v>
      </c>
      <c r="AI763">
        <v>2.6302239811097303</v>
      </c>
      <c r="AJ763">
        <v>2.7658436833220854</v>
      </c>
      <c r="AK763">
        <v>2.9160806096194762</v>
      </c>
      <c r="AL763">
        <v>3.0834323801496266</v>
      </c>
      <c r="AM763">
        <v>3.2709999999999999</v>
      </c>
    </row>
    <row r="764" spans="2:39" hidden="1">
      <c r="B764" t="s">
        <v>943</v>
      </c>
      <c r="C764" s="11" t="s">
        <v>2220</v>
      </c>
      <c r="D764" t="s">
        <v>168</v>
      </c>
      <c r="E764">
        <v>1</v>
      </c>
      <c r="F764">
        <v>1.008191499</v>
      </c>
      <c r="G764">
        <v>1</v>
      </c>
      <c r="H764">
        <v>1.028994325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R764">
        <v>594.54999999999995</v>
      </c>
      <c r="S764">
        <v>581.12999999553688</v>
      </c>
      <c r="T764">
        <v>567.7099999920656</v>
      </c>
      <c r="U764">
        <v>554.28999998958602</v>
      </c>
      <c r="V764">
        <v>540.86999998809836</v>
      </c>
      <c r="W764">
        <v>527.4499999876025</v>
      </c>
      <c r="X764">
        <v>514.02999998809833</v>
      </c>
      <c r="Y764">
        <v>500.60999998958607</v>
      </c>
      <c r="Z764">
        <v>487.18999999206562</v>
      </c>
      <c r="AA764">
        <v>473.76999999553686</v>
      </c>
      <c r="AB764">
        <v>460.35</v>
      </c>
      <c r="AC764">
        <v>1.8099999999999998</v>
      </c>
      <c r="AD764">
        <v>1.8946238280124583</v>
      </c>
      <c r="AE764">
        <v>1.9875486774174769</v>
      </c>
      <c r="AF764">
        <v>2.0900589544963766</v>
      </c>
      <c r="AG764">
        <v>2.2037184547324782</v>
      </c>
      <c r="AH764">
        <v>2.330450698891346</v>
      </c>
      <c r="AI764">
        <v>2.4726486804808614</v>
      </c>
      <c r="AJ764">
        <v>2.6333274031518696</v>
      </c>
      <c r="AK764">
        <v>2.8163400249322619</v>
      </c>
      <c r="AL764">
        <v>3.0266908646027413</v>
      </c>
      <c r="AM764">
        <v>3.2709999999999999</v>
      </c>
    </row>
    <row r="765" spans="2:39" hidden="1">
      <c r="B765" t="s">
        <v>944</v>
      </c>
      <c r="C765" s="11" t="s">
        <v>2221</v>
      </c>
      <c r="D765" t="s">
        <v>168</v>
      </c>
      <c r="E765">
        <v>1</v>
      </c>
      <c r="F765">
        <v>1.010825138</v>
      </c>
      <c r="G765">
        <v>1</v>
      </c>
      <c r="H765">
        <v>1.0393729570000001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R765">
        <v>617.70000000000005</v>
      </c>
      <c r="S765">
        <v>601.96499998333798</v>
      </c>
      <c r="T765">
        <v>586.22999997037869</v>
      </c>
      <c r="U765">
        <v>570.49499996112195</v>
      </c>
      <c r="V765">
        <v>554.75999995556788</v>
      </c>
      <c r="W765">
        <v>539.02499995371659</v>
      </c>
      <c r="X765">
        <v>523.28999995556785</v>
      </c>
      <c r="Y765">
        <v>507.55499996112189</v>
      </c>
      <c r="Z765">
        <v>491.8199999703786</v>
      </c>
      <c r="AA765">
        <v>476.08499998333798</v>
      </c>
      <c r="AB765">
        <v>460.35</v>
      </c>
      <c r="AC765">
        <v>1.6400000000000001</v>
      </c>
      <c r="AD765">
        <v>1.7260658322450766</v>
      </c>
      <c r="AE765">
        <v>1.8216653083620895</v>
      </c>
      <c r="AF765">
        <v>1.9284753927777527</v>
      </c>
      <c r="AG765">
        <v>2.0485908501142256</v>
      </c>
      <c r="AH765">
        <v>2.1846630014747328</v>
      </c>
      <c r="AI765">
        <v>2.3400977142403758</v>
      </c>
      <c r="AJ765">
        <v>2.5193443855339361</v>
      </c>
      <c r="AK765">
        <v>2.7283287560252654</v>
      </c>
      <c r="AL765">
        <v>2.9751206256222185</v>
      </c>
      <c r="AM765">
        <v>3.2709999999999999</v>
      </c>
    </row>
    <row r="766" spans="2:39">
      <c r="B766" t="s">
        <v>945</v>
      </c>
      <c r="C766" s="11" t="s">
        <v>2222</v>
      </c>
      <c r="D766" t="s">
        <v>176</v>
      </c>
      <c r="E766">
        <v>1</v>
      </c>
      <c r="F766">
        <v>1.1299999999999999</v>
      </c>
      <c r="G766">
        <v>1</v>
      </c>
      <c r="H766">
        <v>1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</row>
    <row r="767" spans="2:39">
      <c r="B767" t="s">
        <v>946</v>
      </c>
      <c r="C767" s="11" t="s">
        <v>2223</v>
      </c>
      <c r="D767" t="s">
        <v>176</v>
      </c>
      <c r="E767">
        <v>0.97303998124000002</v>
      </c>
      <c r="F767">
        <v>0.89139999999999997</v>
      </c>
      <c r="G767">
        <v>1</v>
      </c>
      <c r="H767">
        <v>1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</row>
    <row r="768" spans="2:39">
      <c r="B768" t="s">
        <v>947</v>
      </c>
      <c r="C768" s="11" t="s">
        <v>2224</v>
      </c>
      <c r="D768" t="s">
        <v>176</v>
      </c>
      <c r="E768">
        <v>1</v>
      </c>
      <c r="F768">
        <v>0.97699999999999998</v>
      </c>
      <c r="G768">
        <v>1</v>
      </c>
      <c r="H768">
        <v>1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</row>
    <row r="769" spans="2:39">
      <c r="B769" t="s">
        <v>948</v>
      </c>
      <c r="C769" s="11" t="s">
        <v>2225</v>
      </c>
      <c r="D769" t="s">
        <v>176</v>
      </c>
      <c r="E769">
        <v>1</v>
      </c>
      <c r="F769">
        <v>0.92800000000000005</v>
      </c>
      <c r="G769">
        <v>1</v>
      </c>
      <c r="H769">
        <v>1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</row>
    <row r="770" spans="2:39">
      <c r="B770" t="s">
        <v>949</v>
      </c>
      <c r="C770" s="11" t="s">
        <v>2226</v>
      </c>
      <c r="D770" t="s">
        <v>176</v>
      </c>
      <c r="E770">
        <v>1.011122345804</v>
      </c>
      <c r="F770">
        <v>0.98</v>
      </c>
      <c r="G770">
        <v>1</v>
      </c>
      <c r="H770">
        <v>1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</row>
    <row r="771" spans="2:39">
      <c r="B771" t="s">
        <v>950</v>
      </c>
      <c r="C771" s="11" t="s">
        <v>2227</v>
      </c>
      <c r="D771" t="s">
        <v>176</v>
      </c>
      <c r="E771">
        <v>1.010090807164</v>
      </c>
      <c r="F771">
        <v>0.97126999999999997</v>
      </c>
      <c r="G771">
        <v>1</v>
      </c>
      <c r="H771">
        <v>1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</row>
    <row r="772" spans="2:39">
      <c r="B772" t="s">
        <v>951</v>
      </c>
      <c r="C772" s="11" t="s">
        <v>2228</v>
      </c>
      <c r="D772" t="s">
        <v>176</v>
      </c>
      <c r="E772">
        <v>1.004170016829</v>
      </c>
      <c r="F772">
        <v>0.94684000000000001</v>
      </c>
      <c r="G772">
        <v>1</v>
      </c>
      <c r="H772">
        <v>1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</row>
    <row r="773" spans="2:39">
      <c r="B773" t="s">
        <v>952</v>
      </c>
      <c r="C773" s="11" t="s">
        <v>2229</v>
      </c>
      <c r="D773" t="s">
        <v>176</v>
      </c>
      <c r="E773">
        <v>0.997729964784</v>
      </c>
      <c r="F773">
        <v>0.99034999999999995</v>
      </c>
      <c r="G773">
        <v>1</v>
      </c>
      <c r="H773">
        <v>1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</row>
    <row r="774" spans="2:39">
      <c r="B774" t="s">
        <v>953</v>
      </c>
      <c r="C774" s="11" t="s">
        <v>2230</v>
      </c>
      <c r="D774" t="s">
        <v>176</v>
      </c>
      <c r="E774">
        <v>1.0089700464039999</v>
      </c>
      <c r="F774">
        <v>0.97226000000000001</v>
      </c>
      <c r="G774">
        <v>1</v>
      </c>
      <c r="H774">
        <v>1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</row>
    <row r="775" spans="2:39">
      <c r="B775" t="s">
        <v>954</v>
      </c>
      <c r="C775" s="11" t="s">
        <v>2231</v>
      </c>
      <c r="D775" t="s">
        <v>176</v>
      </c>
      <c r="E775">
        <v>0.99908084562199995</v>
      </c>
      <c r="F775">
        <v>1.0022599999999999</v>
      </c>
      <c r="G775">
        <v>1</v>
      </c>
      <c r="H775">
        <v>1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</row>
    <row r="776" spans="2:39">
      <c r="B776" t="s">
        <v>955</v>
      </c>
      <c r="C776" s="11" t="s">
        <v>2232</v>
      </c>
      <c r="D776" t="s">
        <v>176</v>
      </c>
      <c r="E776">
        <v>0.96916999999999998</v>
      </c>
      <c r="F776">
        <v>0.84218999999999999</v>
      </c>
      <c r="G776">
        <v>1</v>
      </c>
      <c r="H776">
        <v>1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</row>
    <row r="777" spans="2:39">
      <c r="B777" t="s">
        <v>956</v>
      </c>
      <c r="C777" s="11" t="s">
        <v>2233</v>
      </c>
      <c r="D777" t="s">
        <v>176</v>
      </c>
      <c r="E777">
        <v>1</v>
      </c>
      <c r="F777">
        <v>0.89400000000000002</v>
      </c>
      <c r="G777">
        <v>1</v>
      </c>
      <c r="H777">
        <v>1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</row>
    <row r="778" spans="2:39">
      <c r="B778" t="s">
        <v>957</v>
      </c>
      <c r="C778" s="11" t="s">
        <v>2234</v>
      </c>
      <c r="D778" t="s">
        <v>176</v>
      </c>
      <c r="E778">
        <v>1.0058338362499999</v>
      </c>
      <c r="F778">
        <v>0.92210000000000003</v>
      </c>
      <c r="G778">
        <v>1</v>
      </c>
      <c r="H778">
        <v>1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</row>
    <row r="779" spans="2:39" hidden="1">
      <c r="B779" t="s">
        <v>958</v>
      </c>
      <c r="C779" s="11" t="s">
        <v>2235</v>
      </c>
      <c r="D779" t="s">
        <v>471</v>
      </c>
      <c r="E779">
        <v>1</v>
      </c>
      <c r="F779">
        <v>0.91683800000000004</v>
      </c>
      <c r="G779">
        <v>1</v>
      </c>
      <c r="H779">
        <v>0.63409700000000002</v>
      </c>
      <c r="I779">
        <v>10.487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</row>
    <row r="780" spans="2:39" hidden="1">
      <c r="B780" t="s">
        <v>959</v>
      </c>
      <c r="C780" s="11" t="s">
        <v>2236</v>
      </c>
      <c r="D780" t="s">
        <v>168</v>
      </c>
      <c r="E780">
        <v>1</v>
      </c>
      <c r="F780">
        <v>1.0007612370000001</v>
      </c>
      <c r="G780">
        <v>1</v>
      </c>
      <c r="H780">
        <v>1.0024806369999999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R780">
        <v>507.82</v>
      </c>
      <c r="S780">
        <v>504.00375013660954</v>
      </c>
      <c r="T780">
        <v>500.18753357619471</v>
      </c>
      <c r="U780">
        <v>496.37135031875545</v>
      </c>
      <c r="V780">
        <v>492.55520036429203</v>
      </c>
      <c r="W780">
        <v>488.73908371280419</v>
      </c>
      <c r="X780">
        <v>484.92300036429202</v>
      </c>
      <c r="Y780">
        <v>481.10695031875548</v>
      </c>
      <c r="Z780">
        <v>477.29093357619467</v>
      </c>
      <c r="AA780">
        <v>473.47495013660944</v>
      </c>
      <c r="AB780">
        <v>469.65899999999999</v>
      </c>
      <c r="AC780">
        <v>2.706</v>
      </c>
      <c r="AD780">
        <v>2.7529614252447057</v>
      </c>
      <c r="AE780">
        <v>2.8015384815579343</v>
      </c>
      <c r="AF780">
        <v>2.8518159444936377</v>
      </c>
      <c r="AG780">
        <v>2.9038846262187863</v>
      </c>
      <c r="AH780">
        <v>2.9578419225629529</v>
      </c>
      <c r="AI780">
        <v>3.0137924206556508</v>
      </c>
      <c r="AJ780">
        <v>3.0718485751273374</v>
      </c>
      <c r="AK780">
        <v>3.1321314620730045</v>
      </c>
      <c r="AL780">
        <v>3.1947716214152804</v>
      </c>
      <c r="AM780">
        <v>3.2599099999999996</v>
      </c>
    </row>
    <row r="781" spans="2:39">
      <c r="B781" t="s">
        <v>960</v>
      </c>
      <c r="C781" s="11" t="s">
        <v>2237</v>
      </c>
      <c r="D781" t="s">
        <v>176</v>
      </c>
      <c r="E781">
        <v>1.028</v>
      </c>
      <c r="F781">
        <v>0.92300000000000004</v>
      </c>
      <c r="G781">
        <v>1</v>
      </c>
      <c r="H781">
        <v>1.0249999999999999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</row>
    <row r="782" spans="2:39">
      <c r="B782" t="s">
        <v>961</v>
      </c>
      <c r="C782" s="11" t="s">
        <v>2238</v>
      </c>
      <c r="D782" t="s">
        <v>176</v>
      </c>
      <c r="E782">
        <v>1</v>
      </c>
      <c r="F782">
        <v>0.97599999999999998</v>
      </c>
      <c r="G782">
        <v>1</v>
      </c>
      <c r="H782">
        <v>1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</row>
    <row r="783" spans="2:39">
      <c r="B783" t="s">
        <v>962</v>
      </c>
      <c r="C783" s="11" t="s">
        <v>2239</v>
      </c>
      <c r="D783" t="s">
        <v>176</v>
      </c>
      <c r="E783">
        <v>1</v>
      </c>
      <c r="F783">
        <v>0.99609999999999999</v>
      </c>
      <c r="G783">
        <v>1</v>
      </c>
      <c r="H783">
        <v>1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</row>
    <row r="784" spans="2:39" hidden="1">
      <c r="B784" t="s">
        <v>963</v>
      </c>
      <c r="C784" s="11" t="s">
        <v>2240</v>
      </c>
      <c r="D784" t="s">
        <v>168</v>
      </c>
      <c r="E784">
        <v>1</v>
      </c>
      <c r="F784">
        <v>1.0024410509999999</v>
      </c>
      <c r="G784">
        <v>1</v>
      </c>
      <c r="H784">
        <v>1.0089724120000001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R784">
        <v>540.20000000000005</v>
      </c>
      <c r="S784">
        <v>533.14521210529983</v>
      </c>
      <c r="T784">
        <v>526.09057707608872</v>
      </c>
      <c r="U784">
        <v>519.03609491236614</v>
      </c>
      <c r="V784">
        <v>511.98176561413277</v>
      </c>
      <c r="W784">
        <v>504.92758918138827</v>
      </c>
      <c r="X784">
        <v>497.87356561413281</v>
      </c>
      <c r="Y784">
        <v>490.81969491236617</v>
      </c>
      <c r="Z784">
        <v>483.76597707608852</v>
      </c>
      <c r="AA784">
        <v>476.71241210529973</v>
      </c>
      <c r="AB784">
        <v>469.65899999999999</v>
      </c>
      <c r="AC784">
        <v>2.33</v>
      </c>
      <c r="AD784">
        <v>2.3985698167106149</v>
      </c>
      <c r="AE784">
        <v>2.4712616987598661</v>
      </c>
      <c r="AF784">
        <v>2.5484588328027424</v>
      </c>
      <c r="AG784">
        <v>2.6305934188668543</v>
      </c>
      <c r="AH784">
        <v>2.7181547658463243</v>
      </c>
      <c r="AI784">
        <v>2.8116990463612161</v>
      </c>
      <c r="AJ784">
        <v>2.911861121832664</v>
      </c>
      <c r="AK784">
        <v>3.0193689691430525</v>
      </c>
      <c r="AL784">
        <v>3.1350614020560763</v>
      </c>
      <c r="AM784">
        <v>3.2599099999999996</v>
      </c>
    </row>
    <row r="785" spans="2:39" hidden="1">
      <c r="B785" t="s">
        <v>964</v>
      </c>
      <c r="C785" s="11" t="s">
        <v>2241</v>
      </c>
      <c r="D785" t="s">
        <v>168</v>
      </c>
      <c r="E785">
        <v>1</v>
      </c>
      <c r="F785">
        <v>0.44766601099999997</v>
      </c>
      <c r="G785">
        <v>1</v>
      </c>
      <c r="H785">
        <v>0.95667731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R785">
        <v>647.096</v>
      </c>
      <c r="S785">
        <v>573.26677973933749</v>
      </c>
      <c r="T785">
        <v>511.90100842548884</v>
      </c>
      <c r="U785">
        <v>462.99868605845387</v>
      </c>
      <c r="V785">
        <v>426.55981263823304</v>
      </c>
      <c r="W785">
        <v>402.58438816482612</v>
      </c>
      <c r="X785">
        <v>391.07241263823306</v>
      </c>
      <c r="Y785">
        <v>392.02388605845385</v>
      </c>
      <c r="Z785">
        <v>405.43880842548867</v>
      </c>
      <c r="AA785">
        <v>431.31717973933735</v>
      </c>
      <c r="AB785">
        <v>469.65899999999999</v>
      </c>
      <c r="AC785">
        <v>17.873727995599999</v>
      </c>
      <c r="AD785">
        <v>13.550621528921008</v>
      </c>
      <c r="AE785">
        <v>10.723436810861754</v>
      </c>
      <c r="AF785">
        <v>8.7476027590801149</v>
      </c>
      <c r="AG785">
        <v>7.2999415155686052</v>
      </c>
      <c r="AH785">
        <v>6.2009819970153544</v>
      </c>
      <c r="AI785">
        <v>5.3433309648554284</v>
      </c>
      <c r="AJ785">
        <v>4.6589509777976943</v>
      </c>
      <c r="AK785">
        <v>4.1027488518922679</v>
      </c>
      <c r="AL785">
        <v>3.6437243415653966</v>
      </c>
      <c r="AM785">
        <v>3.2599099999999996</v>
      </c>
    </row>
    <row r="786" spans="2:39">
      <c r="B786" t="s">
        <v>965</v>
      </c>
      <c r="C786" s="11" t="s">
        <v>2242</v>
      </c>
      <c r="D786" t="s">
        <v>176</v>
      </c>
      <c r="E786">
        <v>1</v>
      </c>
      <c r="F786">
        <v>1.0029999999999999</v>
      </c>
      <c r="G786">
        <v>0.995</v>
      </c>
      <c r="H786">
        <v>1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</row>
    <row r="787" spans="2:39">
      <c r="B787" t="s">
        <v>966</v>
      </c>
      <c r="C787" s="11" t="s">
        <v>2243</v>
      </c>
      <c r="D787" t="s">
        <v>176</v>
      </c>
      <c r="E787">
        <v>1</v>
      </c>
      <c r="F787">
        <v>0.99199999999999999</v>
      </c>
      <c r="G787">
        <v>1</v>
      </c>
      <c r="H787">
        <v>1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</row>
    <row r="788" spans="2:39" hidden="1">
      <c r="B788" t="s">
        <v>967</v>
      </c>
      <c r="C788" s="11" t="s">
        <v>2244</v>
      </c>
      <c r="D788" t="s">
        <v>168</v>
      </c>
      <c r="E788">
        <v>1</v>
      </c>
      <c r="F788">
        <v>1.016422347</v>
      </c>
      <c r="G788">
        <v>1</v>
      </c>
      <c r="H788">
        <v>1.0692239640000001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R788">
        <v>568.74</v>
      </c>
      <c r="S788">
        <v>559.93325919139795</v>
      </c>
      <c r="T788">
        <v>550.88177189581859</v>
      </c>
      <c r="U788">
        <v>541.58553811326169</v>
      </c>
      <c r="V788">
        <v>532.04455784372772</v>
      </c>
      <c r="W788">
        <v>522.25883108721632</v>
      </c>
      <c r="X788">
        <v>512.22835784372774</v>
      </c>
      <c r="Y788">
        <v>501.95313811326173</v>
      </c>
      <c r="Z788">
        <v>491.43317189581848</v>
      </c>
      <c r="AA788">
        <v>480.66845919139791</v>
      </c>
      <c r="AB788">
        <v>469.65899999999999</v>
      </c>
      <c r="AC788">
        <v>2.0310000000000001</v>
      </c>
      <c r="AD788">
        <v>2.0947538628852111</v>
      </c>
      <c r="AE788">
        <v>2.1663629131577342</v>
      </c>
      <c r="AF788">
        <v>2.2470463373621605</v>
      </c>
      <c r="AG788">
        <v>2.3383089640515626</v>
      </c>
      <c r="AH788">
        <v>2.4420282731047838</v>
      </c>
      <c r="AI788">
        <v>2.5605754661571911</v>
      </c>
      <c r="AJ788">
        <v>2.6969872160616242</v>
      </c>
      <c r="AK788">
        <v>2.8552146767026536</v>
      </c>
      <c r="AL788">
        <v>3.0404935621748566</v>
      </c>
      <c r="AM788">
        <v>3.2599099999999996</v>
      </c>
    </row>
    <row r="789" spans="2:39" hidden="1">
      <c r="B789" t="s">
        <v>968</v>
      </c>
      <c r="C789" s="11" t="s">
        <v>2245</v>
      </c>
      <c r="D789" t="s">
        <v>168</v>
      </c>
      <c r="E789">
        <v>1</v>
      </c>
      <c r="F789">
        <v>1.1034217550000001</v>
      </c>
      <c r="G789">
        <v>1</v>
      </c>
      <c r="H789">
        <v>1.034910633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R789">
        <v>594.54999999999995</v>
      </c>
      <c r="S789">
        <v>591.23622740031897</v>
      </c>
      <c r="T789">
        <v>585.88349315612277</v>
      </c>
      <c r="U789">
        <v>578.4917972674109</v>
      </c>
      <c r="V789">
        <v>569.06113973418405</v>
      </c>
      <c r="W789">
        <v>557.59152055644154</v>
      </c>
      <c r="X789">
        <v>544.08293973418404</v>
      </c>
      <c r="Y789">
        <v>528.53539726741099</v>
      </c>
      <c r="Z789">
        <v>510.94889315612261</v>
      </c>
      <c r="AA789">
        <v>491.32342740031896</v>
      </c>
      <c r="AB789">
        <v>469.65899999999999</v>
      </c>
      <c r="AC789">
        <v>1.8099999999999998</v>
      </c>
      <c r="AD789">
        <v>1.8925672100843247</v>
      </c>
      <c r="AE789">
        <v>1.9834378712107885</v>
      </c>
      <c r="AF789">
        <v>2.0839279186540853</v>
      </c>
      <c r="AG789">
        <v>2.1956468901162109</v>
      </c>
      <c r="AH789">
        <v>2.3205846457187356</v>
      </c>
      <c r="AI789">
        <v>2.4612307546170107</v>
      </c>
      <c r="AJ789">
        <v>2.6207418659975574</v>
      </c>
      <c r="AK789">
        <v>2.8031811803583784</v>
      </c>
      <c r="AL789">
        <v>3.0138690599651743</v>
      </c>
      <c r="AM789">
        <v>3.2599099999999996</v>
      </c>
    </row>
    <row r="790" spans="2:39" hidden="1">
      <c r="B790" t="s">
        <v>969</v>
      </c>
      <c r="C790" s="11" t="s">
        <v>2246</v>
      </c>
      <c r="D790" t="s">
        <v>168</v>
      </c>
      <c r="E790">
        <v>1</v>
      </c>
      <c r="F790">
        <v>1.049035838</v>
      </c>
      <c r="G790">
        <v>1</v>
      </c>
      <c r="H790">
        <v>1.016370338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R790">
        <v>617.70000000000005</v>
      </c>
      <c r="S790">
        <v>606.73874253041799</v>
      </c>
      <c r="T790">
        <v>594.92352005407633</v>
      </c>
      <c r="U790">
        <v>582.25433257097507</v>
      </c>
      <c r="V790">
        <v>568.73118008111442</v>
      </c>
      <c r="W790">
        <v>554.35406258449416</v>
      </c>
      <c r="X790">
        <v>539.12298008111429</v>
      </c>
      <c r="Y790">
        <v>523.03793257097504</v>
      </c>
      <c r="Z790">
        <v>506.09892005407619</v>
      </c>
      <c r="AA790">
        <v>488.30594253041789</v>
      </c>
      <c r="AB790">
        <v>469.65899999999999</v>
      </c>
      <c r="AC790">
        <v>1.6400000000000001</v>
      </c>
      <c r="AD790">
        <v>1.7311209230625799</v>
      </c>
      <c r="AE790">
        <v>1.8316234031382854</v>
      </c>
      <c r="AF790">
        <v>1.9430069965304924</v>
      </c>
      <c r="AG790">
        <v>2.0671079360807836</v>
      </c>
      <c r="AH790">
        <v>2.2061992000981716</v>
      </c>
      <c r="AI790">
        <v>2.3631285268740725</v>
      </c>
      <c r="AJ790">
        <v>2.54151229404098</v>
      </c>
      <c r="AK790">
        <v>2.7460135526347993</v>
      </c>
      <c r="AL790">
        <v>2.9827501550054119</v>
      </c>
      <c r="AM790">
        <v>3.2599099999999996</v>
      </c>
    </row>
    <row r="791" spans="2:39">
      <c r="B791" t="s">
        <v>970</v>
      </c>
      <c r="C791" s="11" t="s">
        <v>2247</v>
      </c>
      <c r="D791" t="s">
        <v>176</v>
      </c>
      <c r="E791">
        <v>1</v>
      </c>
      <c r="F791">
        <v>1.1140000000000001</v>
      </c>
      <c r="G791">
        <v>1</v>
      </c>
      <c r="H791">
        <v>1.0469999999999999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</row>
    <row r="792" spans="2:39">
      <c r="B792" t="s">
        <v>971</v>
      </c>
      <c r="C792" s="11" t="s">
        <v>2248</v>
      </c>
      <c r="D792" t="s">
        <v>176</v>
      </c>
      <c r="E792">
        <v>0.98329999999999995</v>
      </c>
      <c r="F792">
        <v>1.1486000000000001</v>
      </c>
      <c r="G792">
        <v>1</v>
      </c>
      <c r="H792">
        <v>1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</row>
    <row r="793" spans="2:39">
      <c r="B793" t="s">
        <v>972</v>
      </c>
      <c r="C793" s="11" t="s">
        <v>2249</v>
      </c>
      <c r="D793" t="s">
        <v>176</v>
      </c>
      <c r="E793">
        <v>1.003713740841</v>
      </c>
      <c r="F793">
        <v>0.95086000000000004</v>
      </c>
      <c r="G793">
        <v>1</v>
      </c>
      <c r="H793">
        <v>1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</row>
    <row r="794" spans="2:39">
      <c r="B794" t="s">
        <v>973</v>
      </c>
      <c r="C794" s="11" t="s">
        <v>2250</v>
      </c>
      <c r="D794" t="s">
        <v>176</v>
      </c>
      <c r="E794">
        <v>1.0006003602160001</v>
      </c>
      <c r="F794">
        <v>0.98509000000000002</v>
      </c>
      <c r="G794">
        <v>1</v>
      </c>
      <c r="H794">
        <v>1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</row>
    <row r="795" spans="2:39">
      <c r="B795" t="s">
        <v>974</v>
      </c>
      <c r="C795" s="11" t="s">
        <v>2251</v>
      </c>
      <c r="D795" t="s">
        <v>176</v>
      </c>
      <c r="E795">
        <v>1.011940902651</v>
      </c>
      <c r="F795">
        <v>0.90300999999999998</v>
      </c>
      <c r="G795">
        <v>1</v>
      </c>
      <c r="H795">
        <v>1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</row>
    <row r="796" spans="2:39">
      <c r="B796" t="s">
        <v>975</v>
      </c>
      <c r="C796" s="11" t="s">
        <v>2252</v>
      </c>
      <c r="D796" t="s">
        <v>176</v>
      </c>
      <c r="E796">
        <v>0.99629378711200001</v>
      </c>
      <c r="F796">
        <v>0.97214999999999996</v>
      </c>
      <c r="G796">
        <v>1</v>
      </c>
      <c r="H796">
        <v>1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</row>
    <row r="797" spans="2:39">
      <c r="B797" t="s">
        <v>976</v>
      </c>
      <c r="C797" s="11" t="s">
        <v>2253</v>
      </c>
      <c r="D797" t="s">
        <v>176</v>
      </c>
      <c r="E797">
        <v>1.0042479689079999</v>
      </c>
      <c r="F797">
        <v>0.99056999999999995</v>
      </c>
      <c r="G797">
        <v>1</v>
      </c>
      <c r="H797">
        <v>1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</row>
    <row r="798" spans="2:39">
      <c r="B798" t="s">
        <v>977</v>
      </c>
      <c r="C798" s="11" t="s">
        <v>2254</v>
      </c>
      <c r="D798" t="s">
        <v>176</v>
      </c>
      <c r="E798">
        <v>1.0876658690450001</v>
      </c>
      <c r="F798">
        <v>0.90549999999999997</v>
      </c>
      <c r="G798">
        <v>1</v>
      </c>
      <c r="H798">
        <v>0.99160000000000004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</row>
    <row r="799" spans="2:39">
      <c r="B799" t="s">
        <v>978</v>
      </c>
      <c r="C799" s="11" t="s">
        <v>2255</v>
      </c>
      <c r="D799" t="s">
        <v>176</v>
      </c>
      <c r="E799">
        <v>1</v>
      </c>
      <c r="F799">
        <v>0.9859</v>
      </c>
      <c r="G799">
        <v>1</v>
      </c>
      <c r="H799">
        <v>1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</row>
    <row r="800" spans="2:39">
      <c r="B800" t="s">
        <v>979</v>
      </c>
      <c r="C800" s="11" t="s">
        <v>2256</v>
      </c>
      <c r="D800" t="s">
        <v>176</v>
      </c>
      <c r="E800">
        <v>1</v>
      </c>
      <c r="F800">
        <v>1.0014000000000001</v>
      </c>
      <c r="G800">
        <v>1</v>
      </c>
      <c r="H800">
        <v>1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</row>
    <row r="801" spans="2:39">
      <c r="B801" t="s">
        <v>980</v>
      </c>
      <c r="C801" s="11" t="s">
        <v>2257</v>
      </c>
      <c r="D801" t="s">
        <v>176</v>
      </c>
      <c r="E801">
        <v>0.99607999999999997</v>
      </c>
      <c r="F801">
        <v>1.0329299999999999</v>
      </c>
      <c r="G801">
        <v>1</v>
      </c>
      <c r="H801">
        <v>1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</row>
    <row r="802" spans="2:39">
      <c r="B802" t="s">
        <v>981</v>
      </c>
      <c r="C802" s="11" t="s">
        <v>2258</v>
      </c>
      <c r="D802" t="s">
        <v>176</v>
      </c>
      <c r="E802">
        <v>1</v>
      </c>
      <c r="F802">
        <v>0.97</v>
      </c>
      <c r="G802">
        <v>1</v>
      </c>
      <c r="H802">
        <v>1.0069999999999999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</row>
    <row r="803" spans="2:39">
      <c r="B803" t="s">
        <v>982</v>
      </c>
      <c r="C803" s="11" t="s">
        <v>2259</v>
      </c>
      <c r="D803" t="s">
        <v>176</v>
      </c>
      <c r="E803">
        <v>1</v>
      </c>
      <c r="F803">
        <v>0.9194</v>
      </c>
      <c r="G803">
        <v>1</v>
      </c>
      <c r="H803">
        <v>1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</row>
    <row r="804" spans="2:39">
      <c r="B804" t="s">
        <v>983</v>
      </c>
      <c r="C804" s="11" t="s">
        <v>2260</v>
      </c>
      <c r="D804" t="s">
        <v>176</v>
      </c>
      <c r="E804">
        <v>1.0049999999999999</v>
      </c>
      <c r="F804">
        <v>0.97499999999999998</v>
      </c>
      <c r="G804">
        <v>1</v>
      </c>
      <c r="H804">
        <v>0.997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</row>
    <row r="805" spans="2:39">
      <c r="B805" t="s">
        <v>984</v>
      </c>
      <c r="C805" s="11" t="s">
        <v>2261</v>
      </c>
      <c r="D805" t="s">
        <v>176</v>
      </c>
      <c r="E805">
        <v>1</v>
      </c>
      <c r="F805">
        <v>0.98399999999999999</v>
      </c>
      <c r="G805">
        <v>1</v>
      </c>
      <c r="H805">
        <v>0.98260000000000003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</row>
    <row r="806" spans="2:39" hidden="1">
      <c r="B806" t="s">
        <v>985</v>
      </c>
      <c r="C806" s="11" t="s">
        <v>2262</v>
      </c>
      <c r="D806" t="s">
        <v>168</v>
      </c>
      <c r="E806">
        <v>1</v>
      </c>
      <c r="F806">
        <v>0.9335</v>
      </c>
      <c r="G806">
        <v>1</v>
      </c>
      <c r="H806">
        <v>0.99029999999999996</v>
      </c>
      <c r="I806">
        <v>-0.52739999999999998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R806">
        <v>553.6</v>
      </c>
      <c r="S806">
        <v>542.61377580191379</v>
      </c>
      <c r="T806">
        <v>533.05782364784659</v>
      </c>
      <c r="U806">
        <v>524.93214353779854</v>
      </c>
      <c r="V806">
        <v>518.23673547176975</v>
      </c>
      <c r="W806">
        <v>512.97159944976022</v>
      </c>
      <c r="X806">
        <v>509.13673547176978</v>
      </c>
      <c r="Y806">
        <v>506.73214353779861</v>
      </c>
      <c r="Z806">
        <v>505.75782364784658</v>
      </c>
      <c r="AA806">
        <v>506.2137758019137</v>
      </c>
      <c r="AB806">
        <v>508.1</v>
      </c>
      <c r="AC806">
        <v>3.2240000000000002</v>
      </c>
      <c r="AD806">
        <v>3.3396517673506558</v>
      </c>
      <c r="AE806">
        <v>3.461243936178874</v>
      </c>
      <c r="AF806">
        <v>3.5891582413863774</v>
      </c>
      <c r="AG806">
        <v>3.7238041909909936</v>
      </c>
      <c r="AH806">
        <v>3.8656210737993177</v>
      </c>
      <c r="AI806">
        <v>4.0150800609304413</v>
      </c>
      <c r="AJ806">
        <v>4.1726863878644167</v>
      </c>
      <c r="AK806">
        <v>4.3389815969052563</v>
      </c>
      <c r="AL806">
        <v>4.5145458111755294</v>
      </c>
      <c r="AM806">
        <v>4.7</v>
      </c>
    </row>
    <row r="807" spans="2:39">
      <c r="B807" t="s">
        <v>986</v>
      </c>
      <c r="C807" s="11" t="s">
        <v>2263</v>
      </c>
      <c r="D807" t="s">
        <v>176</v>
      </c>
      <c r="E807">
        <v>1</v>
      </c>
      <c r="F807">
        <v>1.0001599999999999</v>
      </c>
      <c r="G807">
        <v>1</v>
      </c>
      <c r="H807">
        <v>1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</row>
    <row r="808" spans="2:39">
      <c r="B808" t="s">
        <v>987</v>
      </c>
      <c r="C808" s="11" t="s">
        <v>2264</v>
      </c>
      <c r="D808" t="s">
        <v>176</v>
      </c>
      <c r="E808">
        <v>1</v>
      </c>
      <c r="F808">
        <v>0.91459999999999997</v>
      </c>
      <c r="G808">
        <v>1</v>
      </c>
      <c r="H808">
        <v>1.0198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</row>
    <row r="809" spans="2:39">
      <c r="B809" t="s">
        <v>988</v>
      </c>
      <c r="C809" s="11" t="s">
        <v>2265</v>
      </c>
      <c r="D809" t="s">
        <v>176</v>
      </c>
      <c r="E809">
        <v>1.004510049219</v>
      </c>
      <c r="F809">
        <v>0.93533999999999995</v>
      </c>
      <c r="G809">
        <v>1</v>
      </c>
      <c r="H809">
        <v>1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</row>
    <row r="810" spans="2:39">
      <c r="B810" t="s">
        <v>989</v>
      </c>
      <c r="C810" s="11" t="s">
        <v>2266</v>
      </c>
      <c r="D810" t="s">
        <v>176</v>
      </c>
      <c r="E810">
        <v>0.98882000000000003</v>
      </c>
      <c r="F810">
        <v>0.92527800000000004</v>
      </c>
      <c r="G810">
        <v>1.0080910000000001</v>
      </c>
      <c r="H810">
        <v>0.92302899999999999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</row>
    <row r="811" spans="2:39">
      <c r="B811" t="s">
        <v>990</v>
      </c>
      <c r="C811" s="11" t="s">
        <v>2267</v>
      </c>
      <c r="D811" t="s">
        <v>176</v>
      </c>
      <c r="E811">
        <v>1</v>
      </c>
      <c r="F811">
        <v>0.91900000000000004</v>
      </c>
      <c r="G811">
        <v>1</v>
      </c>
      <c r="H811">
        <v>1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</row>
    <row r="812" spans="2:39">
      <c r="B812" t="s">
        <v>991</v>
      </c>
      <c r="C812" s="11" t="s">
        <v>2268</v>
      </c>
      <c r="D812" t="s">
        <v>176</v>
      </c>
      <c r="E812">
        <v>1</v>
      </c>
      <c r="F812">
        <v>0.98</v>
      </c>
      <c r="G812">
        <v>1</v>
      </c>
      <c r="H812">
        <v>0.99619999999999997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</row>
    <row r="813" spans="2:39">
      <c r="B813" t="s">
        <v>992</v>
      </c>
      <c r="C813" s="11" t="s">
        <v>2269</v>
      </c>
      <c r="D813" t="s">
        <v>176</v>
      </c>
      <c r="E813">
        <v>1.0196000000000001</v>
      </c>
      <c r="F813">
        <v>0.92769999999999997</v>
      </c>
      <c r="G813">
        <v>1</v>
      </c>
      <c r="H813">
        <v>1.0351999999999999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</row>
    <row r="814" spans="2:39">
      <c r="B814" t="s">
        <v>993</v>
      </c>
      <c r="C814" s="11" t="s">
        <v>2270</v>
      </c>
      <c r="D814" t="s">
        <v>176</v>
      </c>
      <c r="E814">
        <v>1.0006999999999999</v>
      </c>
      <c r="F814">
        <v>0.97519999999999996</v>
      </c>
      <c r="G814">
        <v>1</v>
      </c>
      <c r="H814">
        <v>1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</row>
    <row r="815" spans="2:39">
      <c r="B815" t="s">
        <v>994</v>
      </c>
      <c r="C815" s="11" t="s">
        <v>2271</v>
      </c>
      <c r="D815" t="s">
        <v>176</v>
      </c>
      <c r="E815">
        <v>1.0246</v>
      </c>
      <c r="F815">
        <v>0.94089999999999996</v>
      </c>
      <c r="G815">
        <v>1</v>
      </c>
      <c r="H815">
        <v>1.0466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</row>
    <row r="816" spans="2:39">
      <c r="B816" t="s">
        <v>995</v>
      </c>
      <c r="C816" s="11" t="s">
        <v>2272</v>
      </c>
      <c r="D816" t="s">
        <v>176</v>
      </c>
      <c r="E816">
        <v>1.044</v>
      </c>
      <c r="F816">
        <v>0.97789999999999999</v>
      </c>
      <c r="G816">
        <v>1</v>
      </c>
      <c r="H816">
        <v>1.0563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</row>
    <row r="817" spans="2:16">
      <c r="B817" t="s">
        <v>996</v>
      </c>
      <c r="C817" s="11" t="s">
        <v>2273</v>
      </c>
      <c r="D817" t="s">
        <v>176</v>
      </c>
      <c r="E817">
        <v>1.044</v>
      </c>
      <c r="F817">
        <v>0.98</v>
      </c>
      <c r="G817">
        <v>1</v>
      </c>
      <c r="H817">
        <v>1.075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</row>
    <row r="818" spans="2:16">
      <c r="B818" t="s">
        <v>997</v>
      </c>
      <c r="C818" s="11" t="s">
        <v>2274</v>
      </c>
      <c r="D818" t="s">
        <v>176</v>
      </c>
      <c r="E818">
        <v>0.99750000000000005</v>
      </c>
      <c r="F818">
        <v>1.0468</v>
      </c>
      <c r="G818">
        <v>1</v>
      </c>
      <c r="H818">
        <v>0.91080000000000005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</row>
    <row r="819" spans="2:16">
      <c r="B819" t="s">
        <v>998</v>
      </c>
      <c r="C819" s="11" t="s">
        <v>2275</v>
      </c>
      <c r="D819" t="s">
        <v>176</v>
      </c>
      <c r="E819">
        <v>1.044</v>
      </c>
      <c r="F819">
        <v>0.995</v>
      </c>
      <c r="G819">
        <v>1</v>
      </c>
      <c r="H819">
        <v>1.0914999999999999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</row>
    <row r="820" spans="2:16">
      <c r="B820" t="s">
        <v>999</v>
      </c>
      <c r="C820" s="11" t="s">
        <v>2276</v>
      </c>
      <c r="D820" t="s">
        <v>176</v>
      </c>
      <c r="E820">
        <v>1.00691</v>
      </c>
      <c r="F820">
        <v>0.88007999999999997</v>
      </c>
      <c r="G820">
        <v>1</v>
      </c>
      <c r="H820">
        <v>1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</row>
    <row r="821" spans="2:16">
      <c r="B821" t="s">
        <v>1000</v>
      </c>
      <c r="C821" s="11" t="s">
        <v>2277</v>
      </c>
      <c r="D821" t="s">
        <v>176</v>
      </c>
      <c r="E821">
        <v>1.0004602116970001</v>
      </c>
      <c r="F821">
        <v>0.99860000000000004</v>
      </c>
      <c r="G821">
        <v>1</v>
      </c>
      <c r="H821">
        <v>1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</row>
    <row r="822" spans="2:16">
      <c r="B822" t="s">
        <v>1001</v>
      </c>
      <c r="C822" s="11" t="s">
        <v>2278</v>
      </c>
      <c r="D822" t="s">
        <v>176</v>
      </c>
      <c r="E822">
        <v>1.0146413000000001</v>
      </c>
      <c r="F822">
        <v>0.90537999999999996</v>
      </c>
      <c r="G822">
        <v>1</v>
      </c>
      <c r="H822">
        <v>1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</row>
    <row r="823" spans="2:16">
      <c r="B823" t="s">
        <v>1002</v>
      </c>
      <c r="C823" s="11" t="s">
        <v>2279</v>
      </c>
      <c r="D823" t="s">
        <v>176</v>
      </c>
      <c r="E823">
        <v>0.99361109999999997</v>
      </c>
      <c r="F823">
        <v>0.97119</v>
      </c>
      <c r="G823">
        <v>1</v>
      </c>
      <c r="H823">
        <v>1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</row>
    <row r="824" spans="2:16">
      <c r="B824" t="s">
        <v>1003</v>
      </c>
      <c r="C824" s="11" t="s">
        <v>2280</v>
      </c>
      <c r="D824" t="s">
        <v>176</v>
      </c>
      <c r="E824">
        <v>0.99903090000000005</v>
      </c>
      <c r="F824">
        <v>1.0047200000000001</v>
      </c>
      <c r="G824">
        <v>1</v>
      </c>
      <c r="H824">
        <v>1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</row>
    <row r="825" spans="2:16" hidden="1">
      <c r="B825" t="s">
        <v>1004</v>
      </c>
      <c r="C825" s="11" t="s">
        <v>2281</v>
      </c>
      <c r="D825" t="s">
        <v>471</v>
      </c>
      <c r="E825">
        <v>1</v>
      </c>
      <c r="F825">
        <v>0.87806309999999999</v>
      </c>
      <c r="G825">
        <v>1</v>
      </c>
      <c r="H825">
        <v>0.96832510000000005</v>
      </c>
      <c r="I825">
        <v>11.089885000000001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</row>
    <row r="826" spans="2:16">
      <c r="B826" t="s">
        <v>1005</v>
      </c>
      <c r="C826" s="11" t="s">
        <v>2282</v>
      </c>
      <c r="D826" t="s">
        <v>176</v>
      </c>
      <c r="E826">
        <v>1</v>
      </c>
      <c r="F826">
        <v>0.999</v>
      </c>
      <c r="G826">
        <v>1</v>
      </c>
      <c r="H826">
        <v>1.012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</row>
    <row r="827" spans="2:16">
      <c r="B827" t="s">
        <v>1006</v>
      </c>
      <c r="C827" s="11" t="s">
        <v>2283</v>
      </c>
      <c r="D827" t="s">
        <v>176</v>
      </c>
      <c r="E827">
        <v>0.97847358121299999</v>
      </c>
      <c r="F827">
        <v>0.90100000000000002</v>
      </c>
      <c r="G827">
        <v>1</v>
      </c>
      <c r="H827">
        <v>1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</row>
    <row r="828" spans="2:16" hidden="1">
      <c r="B828" t="s">
        <v>1007</v>
      </c>
      <c r="C828" s="11" t="s">
        <v>2284</v>
      </c>
      <c r="D828" t="s">
        <v>471</v>
      </c>
      <c r="E828">
        <v>1</v>
      </c>
      <c r="F828">
        <v>0.86807420000000002</v>
      </c>
      <c r="G828">
        <v>1</v>
      </c>
      <c r="H828">
        <v>1.0530481</v>
      </c>
      <c r="I828">
        <v>15.061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</row>
    <row r="829" spans="2:16">
      <c r="B829" t="s">
        <v>1008</v>
      </c>
      <c r="C829" s="11" t="s">
        <v>2285</v>
      </c>
      <c r="D829" t="s">
        <v>176</v>
      </c>
      <c r="E829">
        <v>1</v>
      </c>
      <c r="F829">
        <v>0.93689999999999996</v>
      </c>
      <c r="G829">
        <v>1</v>
      </c>
      <c r="H829">
        <v>1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</row>
    <row r="830" spans="2:16" hidden="1">
      <c r="B830" t="s">
        <v>1009</v>
      </c>
      <c r="C830" s="11" t="s">
        <v>2286</v>
      </c>
      <c r="D830" t="s">
        <v>471</v>
      </c>
      <c r="E830">
        <v>1</v>
      </c>
      <c r="F830">
        <v>0.85863129999999999</v>
      </c>
      <c r="G830">
        <v>1</v>
      </c>
      <c r="H830">
        <v>1.0533466</v>
      </c>
      <c r="I830">
        <v>9.577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</row>
    <row r="831" spans="2:16">
      <c r="B831" t="s">
        <v>1010</v>
      </c>
      <c r="C831" s="11" t="s">
        <v>2287</v>
      </c>
      <c r="D831" t="s">
        <v>176</v>
      </c>
      <c r="E831">
        <v>0.99502487562200004</v>
      </c>
      <c r="F831">
        <v>0.96099999999999997</v>
      </c>
      <c r="G831">
        <v>1</v>
      </c>
      <c r="H831">
        <v>1.034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</row>
    <row r="832" spans="2:16">
      <c r="B832" t="s">
        <v>1011</v>
      </c>
      <c r="C832" s="11" t="s">
        <v>2288</v>
      </c>
      <c r="D832" t="s">
        <v>176</v>
      </c>
      <c r="E832">
        <v>1.0261899999999999</v>
      </c>
      <c r="F832">
        <v>0.90636000000000005</v>
      </c>
      <c r="G832">
        <v>1</v>
      </c>
      <c r="H832">
        <v>1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</row>
    <row r="833" spans="2:39">
      <c r="B833" t="s">
        <v>1012</v>
      </c>
      <c r="C833" s="11" t="s">
        <v>2289</v>
      </c>
      <c r="D833" t="s">
        <v>176</v>
      </c>
      <c r="E833">
        <v>1.01</v>
      </c>
      <c r="F833">
        <v>0.86399999999999999</v>
      </c>
      <c r="G833">
        <v>0.97799999999999998</v>
      </c>
      <c r="H833">
        <v>1.0409999999999999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</row>
    <row r="834" spans="2:39" hidden="1">
      <c r="B834" t="s">
        <v>1013</v>
      </c>
      <c r="C834" s="11" t="s">
        <v>2290</v>
      </c>
      <c r="D834" t="s">
        <v>168</v>
      </c>
      <c r="E834">
        <v>0.94786729857800001</v>
      </c>
      <c r="F834">
        <v>0.76400000000000001</v>
      </c>
      <c r="G834">
        <v>1</v>
      </c>
      <c r="H834">
        <v>1.1830000000000001</v>
      </c>
      <c r="I834">
        <v>5.9020000000000001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R834">
        <v>591.75</v>
      </c>
      <c r="S834">
        <v>557.03426590756646</v>
      </c>
      <c r="T834">
        <v>529.62908106454711</v>
      </c>
      <c r="U834">
        <v>509.0696569184189</v>
      </c>
      <c r="V834">
        <v>494.87152632958163</v>
      </c>
      <c r="W834">
        <v>486.52949097032206</v>
      </c>
      <c r="X834">
        <v>483.51650042923438</v>
      </c>
      <c r="Y834">
        <v>485.2824577950089</v>
      </c>
      <c r="Z834">
        <v>491.25294603139935</v>
      </c>
      <c r="AA834">
        <v>500.82786894660666</v>
      </c>
      <c r="AB834">
        <v>513.38</v>
      </c>
      <c r="AC834">
        <v>3.169</v>
      </c>
      <c r="AD834">
        <v>3.3458848465103617</v>
      </c>
      <c r="AE834">
        <v>3.5534509812912378</v>
      </c>
      <c r="AF834">
        <v>3.7996393220056182</v>
      </c>
      <c r="AG834">
        <v>4.0954484436719758</v>
      </c>
      <c r="AH834">
        <v>4.4565570987643559</v>
      </c>
      <c r="AI834">
        <v>4.9061032876977455</v>
      </c>
      <c r="AJ834">
        <v>5.4797112496845983</v>
      </c>
      <c r="AK834">
        <v>6.2352181334931815</v>
      </c>
      <c r="AL834">
        <v>7.2731722834396964</v>
      </c>
      <c r="AM834">
        <v>8.7851700000000008</v>
      </c>
    </row>
    <row r="835" spans="2:39">
      <c r="B835" t="s">
        <v>1014</v>
      </c>
      <c r="C835" s="11" t="s">
        <v>2291</v>
      </c>
      <c r="D835" t="s">
        <v>176</v>
      </c>
      <c r="E835">
        <v>1.074113856069</v>
      </c>
      <c r="F835">
        <v>0.88100000000000001</v>
      </c>
      <c r="G835">
        <v>1</v>
      </c>
      <c r="H835">
        <v>1.1240000000000001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</row>
    <row r="836" spans="2:39">
      <c r="B836" t="s">
        <v>1015</v>
      </c>
      <c r="C836" s="11" t="s">
        <v>2292</v>
      </c>
      <c r="D836" t="s">
        <v>176</v>
      </c>
      <c r="E836">
        <v>0.9989112</v>
      </c>
      <c r="F836">
        <v>0.89432</v>
      </c>
      <c r="G836">
        <v>1</v>
      </c>
      <c r="H836">
        <v>1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</row>
    <row r="837" spans="2:39">
      <c r="B837" t="s">
        <v>1016</v>
      </c>
      <c r="C837" s="11" t="s">
        <v>2293</v>
      </c>
      <c r="D837" t="s">
        <v>176</v>
      </c>
      <c r="E837">
        <v>0.99744999999999995</v>
      </c>
      <c r="F837">
        <v>0.88973000000000002</v>
      </c>
      <c r="G837">
        <v>1</v>
      </c>
      <c r="H837">
        <v>1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</row>
    <row r="838" spans="2:39">
      <c r="B838" t="s">
        <v>1017</v>
      </c>
      <c r="C838" s="11" t="s">
        <v>2294</v>
      </c>
      <c r="D838" t="s">
        <v>176</v>
      </c>
      <c r="E838">
        <v>1.074113856069</v>
      </c>
      <c r="F838">
        <v>0.89300000000000002</v>
      </c>
      <c r="G838">
        <v>1</v>
      </c>
      <c r="H838">
        <v>1.1180000000000001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</row>
    <row r="839" spans="2:39" hidden="1">
      <c r="B839" t="s">
        <v>1018</v>
      </c>
      <c r="C839" s="11" t="s">
        <v>2295</v>
      </c>
      <c r="D839" t="s">
        <v>168</v>
      </c>
      <c r="E839">
        <v>1.095290251917</v>
      </c>
      <c r="F839">
        <v>1.0469999999999999</v>
      </c>
      <c r="G839">
        <v>1</v>
      </c>
      <c r="H839">
        <v>0.95699999999999996</v>
      </c>
      <c r="I839">
        <v>-7.1239999999999997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R839">
        <v>617.70000000000005</v>
      </c>
      <c r="S839">
        <v>619.43565869623376</v>
      </c>
      <c r="T839">
        <v>614.57751422625552</v>
      </c>
      <c r="U839">
        <v>604.77662197897826</v>
      </c>
      <c r="V839">
        <v>591.56192906146839</v>
      </c>
      <c r="W839">
        <v>576.35135793062523</v>
      </c>
      <c r="X839">
        <v>560.4617042918253</v>
      </c>
      <c r="Y839">
        <v>545.11749466414471</v>
      </c>
      <c r="Z839">
        <v>531.45892898599163</v>
      </c>
      <c r="AA839">
        <v>520.54901665958096</v>
      </c>
      <c r="AB839">
        <v>513.38</v>
      </c>
      <c r="AC839">
        <v>1.6400000000000001</v>
      </c>
      <c r="AD839">
        <v>1.8315070095493791</v>
      </c>
      <c r="AE839">
        <v>2.0602051285796978</v>
      </c>
      <c r="AF839">
        <v>2.3368504077941181</v>
      </c>
      <c r="AG839">
        <v>2.6765735577433047</v>
      </c>
      <c r="AH839">
        <v>3.1013008575579057</v>
      </c>
      <c r="AI839">
        <v>3.6439640380881761</v>
      </c>
      <c r="AJ839">
        <v>4.3562498519028781</v>
      </c>
      <c r="AK839">
        <v>5.3239117091674553</v>
      </c>
      <c r="AL839">
        <v>6.6998923124733967</v>
      </c>
      <c r="AM839">
        <v>8.7851700000000008</v>
      </c>
    </row>
    <row r="840" spans="2:39">
      <c r="B840" t="s">
        <v>1019</v>
      </c>
      <c r="C840" s="11" t="s">
        <v>2296</v>
      </c>
      <c r="D840" t="s">
        <v>176</v>
      </c>
      <c r="E840">
        <v>1.105729892302</v>
      </c>
      <c r="F840">
        <v>0.95528999999999997</v>
      </c>
      <c r="G840">
        <v>1</v>
      </c>
      <c r="H840">
        <v>1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</row>
    <row r="841" spans="2:39" hidden="1">
      <c r="B841" t="s">
        <v>1020</v>
      </c>
      <c r="C841" s="11" t="s">
        <v>2297</v>
      </c>
      <c r="D841" t="s">
        <v>168</v>
      </c>
      <c r="E841">
        <v>0.99419999999999997</v>
      </c>
      <c r="F841">
        <v>1.0690999999999999</v>
      </c>
      <c r="G841">
        <v>1.0723</v>
      </c>
      <c r="H841">
        <v>0.86370000000000002</v>
      </c>
      <c r="I841">
        <v>-1.7030000000000001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R841">
        <v>719</v>
      </c>
      <c r="S841">
        <v>703.89650326382036</v>
      </c>
      <c r="T841">
        <v>687.81985104387309</v>
      </c>
      <c r="U841">
        <v>670.68083212101544</v>
      </c>
      <c r="V841">
        <v>652.38982061804131</v>
      </c>
      <c r="W841">
        <v>632.85677358768839</v>
      </c>
      <c r="X841">
        <v>611.99122858379178</v>
      </c>
      <c r="Y841">
        <v>589.70230121544364</v>
      </c>
      <c r="Z841">
        <v>565.8986826840212</v>
      </c>
      <c r="AA841">
        <v>540.48863730294067</v>
      </c>
      <c r="AB841">
        <v>513.38</v>
      </c>
      <c r="AC841">
        <v>5.88</v>
      </c>
      <c r="AD841">
        <v>6.1766692642005019</v>
      </c>
      <c r="AE841">
        <v>6.5061148364360522</v>
      </c>
      <c r="AF841">
        <v>6.8624972131280044</v>
      </c>
      <c r="AG841">
        <v>7.236667901267694</v>
      </c>
      <c r="AH841">
        <v>7.6151570590316577</v>
      </c>
      <c r="AI841">
        <v>7.9794472502148821</v>
      </c>
      <c r="AJ841">
        <v>8.3059691564175786</v>
      </c>
      <c r="AK841">
        <v>8.5673504034986721</v>
      </c>
      <c r="AL841">
        <v>8.7353195011954252</v>
      </c>
      <c r="AM841">
        <v>8.7851700000000008</v>
      </c>
    </row>
    <row r="842" spans="2:39">
      <c r="B842" t="s">
        <v>1021</v>
      </c>
      <c r="C842" s="11" t="s">
        <v>2298</v>
      </c>
      <c r="D842" t="s">
        <v>176</v>
      </c>
      <c r="E842">
        <v>1.1097424287819999</v>
      </c>
      <c r="F842">
        <v>0.79117999999999999</v>
      </c>
      <c r="G842">
        <v>1</v>
      </c>
      <c r="H842">
        <v>1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</row>
    <row r="843" spans="2:39">
      <c r="B843" t="s">
        <v>1022</v>
      </c>
      <c r="C843" s="11" t="s">
        <v>2299</v>
      </c>
      <c r="D843" t="s">
        <v>176</v>
      </c>
      <c r="E843">
        <v>1.0129999999999999</v>
      </c>
      <c r="F843">
        <v>0.90100000000000002</v>
      </c>
      <c r="G843">
        <v>1.022</v>
      </c>
      <c r="H843">
        <v>1.026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</row>
    <row r="844" spans="2:39" hidden="1">
      <c r="B844" t="s">
        <v>1023</v>
      </c>
      <c r="C844" s="11" t="s">
        <v>2300</v>
      </c>
      <c r="D844" t="s">
        <v>168</v>
      </c>
      <c r="E844">
        <v>1</v>
      </c>
      <c r="F844">
        <v>0.99099999999999999</v>
      </c>
      <c r="G844">
        <v>1</v>
      </c>
      <c r="H844">
        <v>0.999</v>
      </c>
      <c r="I844">
        <v>-0.92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R844">
        <v>562.02</v>
      </c>
      <c r="S844">
        <v>555.61089891959341</v>
      </c>
      <c r="T844">
        <v>549.42159807927726</v>
      </c>
      <c r="U844">
        <v>543.4520974790513</v>
      </c>
      <c r="V844">
        <v>537.70239711891577</v>
      </c>
      <c r="W844">
        <v>532.17249699887066</v>
      </c>
      <c r="X844">
        <v>526.86239711891585</v>
      </c>
      <c r="Y844">
        <v>521.77209747905135</v>
      </c>
      <c r="Z844">
        <v>516.90159807927716</v>
      </c>
      <c r="AA844">
        <v>512.2508989195934</v>
      </c>
      <c r="AB844">
        <v>507.82</v>
      </c>
      <c r="AC844">
        <v>3.9009999999999998</v>
      </c>
      <c r="AD844">
        <v>3.7454625031210913</v>
      </c>
      <c r="AE844">
        <v>3.5999066624031251</v>
      </c>
      <c r="AF844">
        <v>3.463439818753304</v>
      </c>
      <c r="AG844">
        <v>3.3352714741904541</v>
      </c>
      <c r="AH844">
        <v>3.2146991320128029</v>
      </c>
      <c r="AI844">
        <v>3.1010964261847467</v>
      </c>
      <c r="AJ844">
        <v>2.9939031196254078</v>
      </c>
      <c r="AK844">
        <v>2.892616637016872</v>
      </c>
      <c r="AL844">
        <v>2.7967848644123534</v>
      </c>
      <c r="AM844">
        <v>2.706</v>
      </c>
    </row>
    <row r="845" spans="2:39" hidden="1">
      <c r="B845" t="s">
        <v>1024</v>
      </c>
      <c r="C845" s="11" t="s">
        <v>2301</v>
      </c>
      <c r="D845" t="s">
        <v>168</v>
      </c>
      <c r="E845">
        <v>1</v>
      </c>
      <c r="F845">
        <v>1.002</v>
      </c>
      <c r="G845">
        <v>1</v>
      </c>
      <c r="H845">
        <v>0.99790000000000001</v>
      </c>
      <c r="I845">
        <v>-0.36720000000000003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R845">
        <v>553.6</v>
      </c>
      <c r="S845">
        <v>549.12398248034083</v>
      </c>
      <c r="T845">
        <v>544.62530218727261</v>
      </c>
      <c r="U845">
        <v>540.10395912079514</v>
      </c>
      <c r="V845">
        <v>535.55995328090876</v>
      </c>
      <c r="W845">
        <v>530.99328466761335</v>
      </c>
      <c r="X845">
        <v>526.40395328090881</v>
      </c>
      <c r="Y845">
        <v>521.79195912079524</v>
      </c>
      <c r="Z845">
        <v>517.15730218727253</v>
      </c>
      <c r="AA845">
        <v>512.4999824803408</v>
      </c>
      <c r="AB845">
        <v>507.82</v>
      </c>
      <c r="AC845">
        <v>3.2240000000000002</v>
      </c>
      <c r="AD845">
        <v>3.1662884450698838</v>
      </c>
      <c r="AE845">
        <v>3.1099960627297878</v>
      </c>
      <c r="AF845">
        <v>3.0550810630647764</v>
      </c>
      <c r="AG845">
        <v>3.001502974446296</v>
      </c>
      <c r="AH845">
        <v>2.9492226065180973</v>
      </c>
      <c r="AI845">
        <v>2.89820201340665</v>
      </c>
      <c r="AJ845">
        <v>2.848404457268817</v>
      </c>
      <c r="AK845">
        <v>2.7997943722730234</v>
      </c>
      <c r="AL845">
        <v>2.7523373290954876</v>
      </c>
      <c r="AM845">
        <v>2.706</v>
      </c>
    </row>
    <row r="846" spans="2:39" hidden="1">
      <c r="B846" t="s">
        <v>1025</v>
      </c>
      <c r="C846" s="11" t="s">
        <v>2302</v>
      </c>
      <c r="D846" t="s">
        <v>168</v>
      </c>
      <c r="E846">
        <v>1</v>
      </c>
      <c r="F846">
        <v>0.9365</v>
      </c>
      <c r="G846">
        <v>1</v>
      </c>
      <c r="H846">
        <v>1</v>
      </c>
      <c r="I846">
        <v>-0.38200000000000001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R846">
        <v>557</v>
      </c>
      <c r="S846">
        <v>545.90077852909042</v>
      </c>
      <c r="T846">
        <v>536.17516182949419</v>
      </c>
      <c r="U846">
        <v>527.82314990121085</v>
      </c>
      <c r="V846">
        <v>520.8447427442411</v>
      </c>
      <c r="W846">
        <v>515.23994035858448</v>
      </c>
      <c r="X846">
        <v>511.00874274424115</v>
      </c>
      <c r="Y846">
        <v>508.15114990121094</v>
      </c>
      <c r="Z846">
        <v>506.66716182949409</v>
      </c>
      <c r="AA846">
        <v>506.55677852909042</v>
      </c>
      <c r="AB846">
        <v>507.82</v>
      </c>
      <c r="AC846">
        <v>4</v>
      </c>
      <c r="AD846">
        <v>3.827662525558404</v>
      </c>
      <c r="AE846">
        <v>3.6674717051554948</v>
      </c>
      <c r="AF846">
        <v>3.5182271370917051</v>
      </c>
      <c r="AG846">
        <v>3.3788803536718111</v>
      </c>
      <c r="AH846">
        <v>3.2485115665962745</v>
      </c>
      <c r="AI846">
        <v>3.1263105545230965</v>
      </c>
      <c r="AJ846">
        <v>3.0115608569475971</v>
      </c>
      <c r="AK846">
        <v>2.9036266259023873</v>
      </c>
      <c r="AL846">
        <v>2.801941628378076</v>
      </c>
      <c r="AM846">
        <v>2.706</v>
      </c>
    </row>
    <row r="847" spans="2:39" hidden="1">
      <c r="B847" t="s">
        <v>1026</v>
      </c>
      <c r="C847" s="11" t="s">
        <v>2303</v>
      </c>
      <c r="D847" t="s">
        <v>168</v>
      </c>
      <c r="E847">
        <v>1</v>
      </c>
      <c r="F847">
        <v>0.99976278600000001</v>
      </c>
      <c r="G847">
        <v>1</v>
      </c>
      <c r="H847">
        <v>1.001508227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R847">
        <v>540.20000000000005</v>
      </c>
      <c r="S847">
        <v>536.8946063997796</v>
      </c>
      <c r="T847">
        <v>533.60418915516379</v>
      </c>
      <c r="U847">
        <v>530.32874826615227</v>
      </c>
      <c r="V847">
        <v>527.06828373274561</v>
      </c>
      <c r="W847">
        <v>523.82279555494324</v>
      </c>
      <c r="X847">
        <v>520.5922837327455</v>
      </c>
      <c r="Y847">
        <v>517.37674826615239</v>
      </c>
      <c r="Z847">
        <v>514.17618915516368</v>
      </c>
      <c r="AA847">
        <v>510.99060639977955</v>
      </c>
      <c r="AB847">
        <v>507.82</v>
      </c>
      <c r="AC847">
        <v>2.33</v>
      </c>
      <c r="AD847">
        <v>2.3629743164501957</v>
      </c>
      <c r="AE847">
        <v>2.3968627204611437</v>
      </c>
      <c r="AF847">
        <v>2.4317037079518791</v>
      </c>
      <c r="AG847">
        <v>2.4675379671467432</v>
      </c>
      <c r="AH847">
        <v>2.5044085368912135</v>
      </c>
      <c r="AI847">
        <v>2.5423609788879706</v>
      </c>
      <c r="AJ847">
        <v>2.5814435653024184</v>
      </c>
      <c r="AK847">
        <v>2.6217074833618854</v>
      </c>
      <c r="AL847">
        <v>2.6632070587718957</v>
      </c>
      <c r="AM847">
        <v>2.706</v>
      </c>
    </row>
    <row r="848" spans="2:39">
      <c r="B848" t="s">
        <v>1027</v>
      </c>
      <c r="C848" s="11" t="s">
        <v>2304</v>
      </c>
      <c r="D848" t="s">
        <v>176</v>
      </c>
      <c r="E848">
        <v>1.00668</v>
      </c>
      <c r="F848">
        <v>1.00427</v>
      </c>
      <c r="G848">
        <v>1</v>
      </c>
      <c r="H848">
        <v>1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</row>
    <row r="849" spans="2:39" hidden="1">
      <c r="B849" t="s">
        <v>1028</v>
      </c>
      <c r="C849" s="11" t="s">
        <v>2305</v>
      </c>
      <c r="D849" t="s">
        <v>168</v>
      </c>
      <c r="E849">
        <v>1</v>
      </c>
      <c r="F849">
        <v>0.56968133300000001</v>
      </c>
      <c r="G849">
        <v>1</v>
      </c>
      <c r="H849">
        <v>1.1702175960000001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R849">
        <v>647.096</v>
      </c>
      <c r="S849">
        <v>588.00787795603389</v>
      </c>
      <c r="T849">
        <v>538.95542747739341</v>
      </c>
      <c r="U849">
        <v>499.93864856407868</v>
      </c>
      <c r="V849">
        <v>470.95754121609002</v>
      </c>
      <c r="W849">
        <v>452.01210543342705</v>
      </c>
      <c r="X849">
        <v>443.10234121609005</v>
      </c>
      <c r="Y849">
        <v>444.22824856407874</v>
      </c>
      <c r="Z849">
        <v>455.38982747739328</v>
      </c>
      <c r="AA849">
        <v>476.58707795603374</v>
      </c>
      <c r="AB849">
        <v>507.82</v>
      </c>
      <c r="AC849">
        <v>17.873727995599999</v>
      </c>
      <c r="AD849">
        <v>11.895374211196211</v>
      </c>
      <c r="AE849">
        <v>8.8570068906996244</v>
      </c>
      <c r="AF849">
        <v>7.0193152495351585</v>
      </c>
      <c r="AG849">
        <v>5.7889287850070197</v>
      </c>
      <c r="AH849">
        <v>4.908133576837165</v>
      </c>
      <c r="AI849">
        <v>4.2469381558504686</v>
      </c>
      <c r="AJ849">
        <v>3.7326736210026312</v>
      </c>
      <c r="AK849">
        <v>3.3215349458323185</v>
      </c>
      <c r="AL849">
        <v>2.9855453443679667</v>
      </c>
      <c r="AM849">
        <v>2.706</v>
      </c>
    </row>
    <row r="850" spans="2:39">
      <c r="B850" t="s">
        <v>1029</v>
      </c>
      <c r="C850" s="11" t="s">
        <v>2306</v>
      </c>
      <c r="D850" t="s">
        <v>176</v>
      </c>
      <c r="E850">
        <v>0.995</v>
      </c>
      <c r="F850">
        <v>1.0069699999999999</v>
      </c>
      <c r="G850">
        <v>1</v>
      </c>
      <c r="H850">
        <v>1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</row>
    <row r="851" spans="2:39">
      <c r="B851" t="s">
        <v>1030</v>
      </c>
      <c r="C851" s="11" t="s">
        <v>2307</v>
      </c>
      <c r="D851" t="s">
        <v>176</v>
      </c>
      <c r="E851">
        <v>1</v>
      </c>
      <c r="F851">
        <v>0.998</v>
      </c>
      <c r="G851">
        <v>1</v>
      </c>
      <c r="H851">
        <v>0.998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</row>
    <row r="852" spans="2:39" hidden="1">
      <c r="B852" t="s">
        <v>1031</v>
      </c>
      <c r="C852" s="11" t="s">
        <v>2308</v>
      </c>
      <c r="D852" t="s">
        <v>168</v>
      </c>
      <c r="E852">
        <v>1</v>
      </c>
      <c r="F852">
        <v>0.98799999999999999</v>
      </c>
      <c r="G852">
        <v>1</v>
      </c>
      <c r="H852">
        <v>1</v>
      </c>
      <c r="I852">
        <v>-0.21299999999999999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R852">
        <v>591.75</v>
      </c>
      <c r="S852">
        <v>581.88422140666626</v>
      </c>
      <c r="T852">
        <v>572.34572694518442</v>
      </c>
      <c r="U852">
        <v>563.1345166155545</v>
      </c>
      <c r="V852">
        <v>554.25059041777649</v>
      </c>
      <c r="W852">
        <v>545.69394835185062</v>
      </c>
      <c r="X852">
        <v>537.46459041777655</v>
      </c>
      <c r="Y852">
        <v>529.5625166155545</v>
      </c>
      <c r="Z852">
        <v>521.98772694518436</v>
      </c>
      <c r="AA852">
        <v>514.74022140666625</v>
      </c>
      <c r="AB852">
        <v>507.82</v>
      </c>
      <c r="AC852">
        <v>3.169</v>
      </c>
      <c r="AD852">
        <v>3.1169318248729874</v>
      </c>
      <c r="AE852">
        <v>3.066279838856135</v>
      </c>
      <c r="AF852">
        <v>3.0169891358946463</v>
      </c>
      <c r="AG852">
        <v>2.969007585990981</v>
      </c>
      <c r="AH852">
        <v>2.9222856623657432</v>
      </c>
      <c r="AI852">
        <v>2.8767762813649216</v>
      </c>
      <c r="AJ852">
        <v>2.8324346540303145</v>
      </c>
      <c r="AK852">
        <v>2.7892181483538931</v>
      </c>
      <c r="AL852">
        <v>2.7470861613297095</v>
      </c>
      <c r="AM852">
        <v>2.706</v>
      </c>
    </row>
    <row r="853" spans="2:39" hidden="1">
      <c r="B853" t="s">
        <v>1032</v>
      </c>
      <c r="C853" s="11" t="s">
        <v>2309</v>
      </c>
      <c r="D853" t="s">
        <v>168</v>
      </c>
      <c r="E853">
        <v>1</v>
      </c>
      <c r="F853">
        <v>1.0016339519999999</v>
      </c>
      <c r="G853">
        <v>1</v>
      </c>
      <c r="H853">
        <v>1.006268954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R853">
        <v>568.74</v>
      </c>
      <c r="S853">
        <v>562.65080681658742</v>
      </c>
      <c r="T853">
        <v>556.56098989615543</v>
      </c>
      <c r="U853">
        <v>550.47054923870382</v>
      </c>
      <c r="V853">
        <v>544.37948484423305</v>
      </c>
      <c r="W853">
        <v>538.28779671274265</v>
      </c>
      <c r="X853">
        <v>532.19548484423308</v>
      </c>
      <c r="Y853">
        <v>526.10254923870389</v>
      </c>
      <c r="Z853">
        <v>520.0089898961553</v>
      </c>
      <c r="AA853">
        <v>513.91480681658743</v>
      </c>
      <c r="AB853">
        <v>507.82</v>
      </c>
      <c r="AC853">
        <v>2.0310000000000001</v>
      </c>
      <c r="AD853">
        <v>2.0831530543580734</v>
      </c>
      <c r="AE853">
        <v>2.1380095781193864</v>
      </c>
      <c r="AF853">
        <v>2.1957853169068096</v>
      </c>
      <c r="AG853">
        <v>2.256719599858656</v>
      </c>
      <c r="AH853">
        <v>2.321078652607254</v>
      </c>
      <c r="AI853">
        <v>2.3891594848850795</v>
      </c>
      <c r="AJ853">
        <v>2.461294472498857</v>
      </c>
      <c r="AK853">
        <v>2.5378567828027969</v>
      </c>
      <c r="AL853">
        <v>2.6192668305657247</v>
      </c>
      <c r="AM853">
        <v>2.706</v>
      </c>
    </row>
    <row r="854" spans="2:39">
      <c r="B854" t="s">
        <v>1033</v>
      </c>
      <c r="C854" s="11" t="s">
        <v>2310</v>
      </c>
      <c r="D854" t="s">
        <v>176</v>
      </c>
      <c r="E854">
        <v>1.0002601</v>
      </c>
      <c r="F854">
        <v>0.99382999999999999</v>
      </c>
      <c r="G854">
        <v>1</v>
      </c>
      <c r="H854">
        <v>1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</row>
    <row r="855" spans="2:39">
      <c r="B855" t="s">
        <v>1034</v>
      </c>
      <c r="C855" s="11" t="s">
        <v>2311</v>
      </c>
      <c r="D855" t="s">
        <v>176</v>
      </c>
      <c r="E855">
        <v>1.00071</v>
      </c>
      <c r="F855">
        <v>0.99711000000000005</v>
      </c>
      <c r="G855">
        <v>1</v>
      </c>
      <c r="H855">
        <v>1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</row>
    <row r="856" spans="2:39">
      <c r="B856" t="s">
        <v>1035</v>
      </c>
      <c r="C856" s="11" t="s">
        <v>2312</v>
      </c>
      <c r="D856" t="s">
        <v>176</v>
      </c>
      <c r="E856">
        <v>1.01308</v>
      </c>
      <c r="F856">
        <v>0.99672000000000005</v>
      </c>
      <c r="G856">
        <v>1</v>
      </c>
      <c r="H856">
        <v>1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</row>
    <row r="857" spans="2:39">
      <c r="B857" t="s">
        <v>1036</v>
      </c>
      <c r="C857" s="11" t="s">
        <v>2313</v>
      </c>
      <c r="D857" t="s">
        <v>176</v>
      </c>
      <c r="E857">
        <v>1.0009600000000001</v>
      </c>
      <c r="F857">
        <v>1.0015400000000001</v>
      </c>
      <c r="G857">
        <v>1</v>
      </c>
      <c r="H857">
        <v>1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</row>
    <row r="858" spans="2:39" hidden="1">
      <c r="B858" t="s">
        <v>1037</v>
      </c>
      <c r="C858" s="11" t="s">
        <v>2314</v>
      </c>
      <c r="D858" t="s">
        <v>168</v>
      </c>
      <c r="E858">
        <v>1</v>
      </c>
      <c r="F858">
        <v>1.0553695910000001</v>
      </c>
      <c r="G858">
        <v>1</v>
      </c>
      <c r="H858">
        <v>1.0207616799999999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R858">
        <v>594.54999999999995</v>
      </c>
      <c r="S858">
        <v>591.04583459036871</v>
      </c>
      <c r="T858">
        <v>586.39303927176661</v>
      </c>
      <c r="U858">
        <v>580.59161404419353</v>
      </c>
      <c r="V858">
        <v>573.64155890764982</v>
      </c>
      <c r="W858">
        <v>565.54287386213525</v>
      </c>
      <c r="X858">
        <v>556.29555890764982</v>
      </c>
      <c r="Y858">
        <v>545.89961404419364</v>
      </c>
      <c r="Z858">
        <v>534.3550392717666</v>
      </c>
      <c r="AA858">
        <v>521.6618345903687</v>
      </c>
      <c r="AB858">
        <v>507.82</v>
      </c>
      <c r="AC858">
        <v>1.8099999999999998</v>
      </c>
      <c r="AD858">
        <v>1.869884825062688</v>
      </c>
      <c r="AE858">
        <v>1.9343665046006364</v>
      </c>
      <c r="AF858">
        <v>2.0039893852773187</v>
      </c>
      <c r="AG858">
        <v>2.0793873801650498</v>
      </c>
      <c r="AH858">
        <v>2.1613031789034891</v>
      </c>
      <c r="AI858">
        <v>2.2506126237077715</v>
      </c>
      <c r="AJ858">
        <v>2.3483559479586096</v>
      </c>
      <c r="AK858">
        <v>2.4557782423710321</v>
      </c>
      <c r="AL858">
        <v>2.5743824934332</v>
      </c>
      <c r="AM858">
        <v>2.706</v>
      </c>
    </row>
    <row r="859" spans="2:39" hidden="1">
      <c r="B859" t="s">
        <v>1038</v>
      </c>
      <c r="C859" s="11" t="s">
        <v>2315</v>
      </c>
      <c r="D859" t="s">
        <v>168</v>
      </c>
      <c r="E859">
        <v>0.99764101000000005</v>
      </c>
      <c r="F859">
        <v>1.028939539</v>
      </c>
      <c r="G859">
        <v>1.0015163709999999</v>
      </c>
      <c r="H859">
        <v>1.013511439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R859">
        <v>617.70000000000005</v>
      </c>
      <c r="S859">
        <v>608.94969313242188</v>
      </c>
      <c r="T859">
        <v>599.78894028600973</v>
      </c>
      <c r="U859">
        <v>590.18529182325051</v>
      </c>
      <c r="V859">
        <v>580.10623682465166</v>
      </c>
      <c r="W859">
        <v>569.519202944006</v>
      </c>
      <c r="X859">
        <v>558.39155626324782</v>
      </c>
      <c r="Y859">
        <v>546.69060114689682</v>
      </c>
      <c r="Z859">
        <v>534.38358009608817</v>
      </c>
      <c r="AA859">
        <v>521.43767360218931</v>
      </c>
      <c r="AB859">
        <v>507.82</v>
      </c>
      <c r="AC859">
        <v>1.6400000000000001</v>
      </c>
      <c r="AD859">
        <v>1.70878220401863</v>
      </c>
      <c r="AE859">
        <v>1.7833668516036696</v>
      </c>
      <c r="AF859">
        <v>1.8644577836224767</v>
      </c>
      <c r="AG859">
        <v>1.9528757876970337</v>
      </c>
      <c r="AH859">
        <v>2.0495836998747179</v>
      </c>
      <c r="AI859">
        <v>2.1557182434180913</v>
      </c>
      <c r="AJ859">
        <v>2.272630810393804</v>
      </c>
      <c r="AK859">
        <v>2.4019402571688468</v>
      </c>
      <c r="AL859">
        <v>2.5456020520000835</v>
      </c>
      <c r="AM859">
        <v>2.706</v>
      </c>
    </row>
    <row r="860" spans="2:39" hidden="1">
      <c r="B860" t="s">
        <v>1039</v>
      </c>
      <c r="C860" s="11" t="s">
        <v>2316</v>
      </c>
      <c r="D860" t="s">
        <v>168</v>
      </c>
      <c r="E860">
        <v>0.99099999999999999</v>
      </c>
      <c r="F860">
        <v>1.0269999999999999</v>
      </c>
      <c r="G860">
        <v>1</v>
      </c>
      <c r="H860">
        <v>1.038</v>
      </c>
      <c r="I860">
        <v>1.1399999999999999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R860">
        <v>658.1</v>
      </c>
      <c r="S860">
        <v>644.23455236229245</v>
      </c>
      <c r="T860">
        <v>630.44995270938102</v>
      </c>
      <c r="U860">
        <v>616.62060778120951</v>
      </c>
      <c r="V860">
        <v>602.62001761660031</v>
      </c>
      <c r="W860">
        <v>588.32076735622343</v>
      </c>
      <c r="X860">
        <v>573.59451895648033</v>
      </c>
      <c r="Y860">
        <v>558.31200281316649</v>
      </c>
      <c r="Z860">
        <v>542.34300929376911</v>
      </c>
      <c r="AA860">
        <v>525.55638017723061</v>
      </c>
      <c r="AB860">
        <v>507.82</v>
      </c>
      <c r="AC860">
        <v>1.33</v>
      </c>
      <c r="AD860">
        <v>1.4019490758937407</v>
      </c>
      <c r="AE860">
        <v>1.4819550434292503</v>
      </c>
      <c r="AF860">
        <v>1.5714508980321007</v>
      </c>
      <c r="AG860">
        <v>1.6722308786726627</v>
      </c>
      <c r="AH860">
        <v>1.7865719566419098</v>
      </c>
      <c r="AI860">
        <v>1.9174078889464501</v>
      </c>
      <c r="AJ860">
        <v>2.0685844321069582</v>
      </c>
      <c r="AK860">
        <v>2.2452435890697915</v>
      </c>
      <c r="AL860">
        <v>2.4544200033960775</v>
      </c>
      <c r="AM860">
        <v>2.706</v>
      </c>
    </row>
    <row r="861" spans="2:39" hidden="1">
      <c r="B861" t="s">
        <v>1040</v>
      </c>
      <c r="C861" s="11" t="s">
        <v>2317</v>
      </c>
      <c r="D861" t="s">
        <v>168</v>
      </c>
      <c r="E861">
        <v>0.98135426889099997</v>
      </c>
      <c r="F861">
        <v>0.92</v>
      </c>
      <c r="G861">
        <v>0.99700897308100001</v>
      </c>
      <c r="H861">
        <v>0.97</v>
      </c>
      <c r="I861">
        <v>-0.16200000000000001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R861">
        <v>562.02</v>
      </c>
      <c r="S861">
        <v>548.11383071659873</v>
      </c>
      <c r="T861">
        <v>536.82707239400816</v>
      </c>
      <c r="U861">
        <v>527.9477358442748</v>
      </c>
      <c r="V861">
        <v>521.26065221755607</v>
      </c>
      <c r="W861">
        <v>516.5474131623705</v>
      </c>
      <c r="X861">
        <v>513.58630962935683</v>
      </c>
      <c r="Y861">
        <v>512.15226928252832</v>
      </c>
      <c r="Z861">
        <v>512.016792480915</v>
      </c>
      <c r="AA861">
        <v>512.94788679235239</v>
      </c>
      <c r="AB861">
        <v>514.71</v>
      </c>
      <c r="AC861">
        <v>3.9009999999999998</v>
      </c>
      <c r="AD861">
        <v>4.0682534870570182</v>
      </c>
      <c r="AE861">
        <v>4.2427076055933979</v>
      </c>
      <c r="AF861">
        <v>4.4246124352098075</v>
      </c>
      <c r="AG861">
        <v>4.6142261015312069</v>
      </c>
      <c r="AH861">
        <v>4.8118170133825275</v>
      </c>
      <c r="AI861">
        <v>5.0176668335691232</v>
      </c>
      <c r="AJ861">
        <v>5.2320743377172469</v>
      </c>
      <c r="AK861">
        <v>5.4553603399266368</v>
      </c>
      <c r="AL861">
        <v>5.6878738923898675</v>
      </c>
      <c r="AM861">
        <v>5.93</v>
      </c>
    </row>
    <row r="862" spans="2:39" hidden="1">
      <c r="B862" t="s">
        <v>1041</v>
      </c>
      <c r="C862" s="11" t="s">
        <v>2318</v>
      </c>
      <c r="D862" t="s">
        <v>1042</v>
      </c>
      <c r="E862">
        <v>0.98911968348199997</v>
      </c>
      <c r="F862">
        <v>0.96099999999999997</v>
      </c>
      <c r="G862">
        <v>0.99403578528799996</v>
      </c>
      <c r="H862">
        <v>1.2</v>
      </c>
      <c r="I862">
        <v>1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</row>
    <row r="863" spans="2:39">
      <c r="B863" t="s">
        <v>1043</v>
      </c>
      <c r="C863" s="11" t="s">
        <v>2319</v>
      </c>
      <c r="D863" t="s">
        <v>176</v>
      </c>
      <c r="E863">
        <v>0.99770000000000003</v>
      </c>
      <c r="F863">
        <v>0.94140000000000001</v>
      </c>
      <c r="G863">
        <v>1</v>
      </c>
      <c r="H863">
        <v>1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</row>
    <row r="864" spans="2:39">
      <c r="B864" t="s">
        <v>1044</v>
      </c>
      <c r="C864" s="11" t="s">
        <v>2320</v>
      </c>
      <c r="D864" t="s">
        <v>176</v>
      </c>
      <c r="E864">
        <v>0.98095995956899995</v>
      </c>
      <c r="F864">
        <v>0.89810000000000001</v>
      </c>
      <c r="G864">
        <v>1</v>
      </c>
      <c r="H864">
        <v>1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</row>
    <row r="865" spans="2:39" hidden="1">
      <c r="B865" t="s">
        <v>1045</v>
      </c>
      <c r="C865" s="11" t="s">
        <v>2321</v>
      </c>
      <c r="D865" t="s">
        <v>182</v>
      </c>
      <c r="E865">
        <v>0.99700897308100001</v>
      </c>
      <c r="F865">
        <v>0.871</v>
      </c>
      <c r="G865">
        <v>0.98716683119399995</v>
      </c>
      <c r="H865">
        <v>1.0580000000000001</v>
      </c>
      <c r="I865">
        <v>-1.2230000000000001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</row>
    <row r="866" spans="2:39" hidden="1">
      <c r="B866" t="s">
        <v>1046</v>
      </c>
      <c r="C866" s="11" t="s">
        <v>2322</v>
      </c>
      <c r="D866" t="s">
        <v>288</v>
      </c>
      <c r="E866">
        <v>0.97176099999999999</v>
      </c>
      <c r="F866">
        <v>0.93996767999999997</v>
      </c>
      <c r="G866">
        <v>1.0624092000000001</v>
      </c>
      <c r="H866">
        <v>0.8687762</v>
      </c>
      <c r="I866">
        <v>0.32851089999999999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</row>
    <row r="867" spans="2:39">
      <c r="B867" t="s">
        <v>1047</v>
      </c>
      <c r="C867" s="11" t="s">
        <v>2323</v>
      </c>
      <c r="D867" t="s">
        <v>176</v>
      </c>
      <c r="E867">
        <v>0.99497999999999998</v>
      </c>
      <c r="F867">
        <v>0.91176000000000001</v>
      </c>
      <c r="G867">
        <v>1</v>
      </c>
      <c r="H867">
        <v>1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</row>
    <row r="868" spans="2:39">
      <c r="B868" t="s">
        <v>1048</v>
      </c>
      <c r="C868" s="11" t="s">
        <v>2324</v>
      </c>
      <c r="D868" t="s">
        <v>176</v>
      </c>
      <c r="E868">
        <v>0.97495339999999997</v>
      </c>
      <c r="F868">
        <v>0.90129999999999999</v>
      </c>
      <c r="G868">
        <v>1</v>
      </c>
      <c r="H868">
        <v>1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</row>
    <row r="869" spans="2:39" hidden="1">
      <c r="B869" t="s">
        <v>1049</v>
      </c>
      <c r="C869" s="11" t="s">
        <v>2325</v>
      </c>
      <c r="D869" t="s">
        <v>168</v>
      </c>
      <c r="E869">
        <v>0.98231827112000003</v>
      </c>
      <c r="F869">
        <v>0.90400000000000003</v>
      </c>
      <c r="G869">
        <v>1</v>
      </c>
      <c r="H869">
        <v>1</v>
      </c>
      <c r="I869">
        <v>0.28199999999999997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R869">
        <v>591.75</v>
      </c>
      <c r="S869">
        <v>572.99012385999879</v>
      </c>
      <c r="T869">
        <v>557.24262855589086</v>
      </c>
      <c r="U869">
        <v>544.30435984810151</v>
      </c>
      <c r="V869">
        <v>533.96927470667072</v>
      </c>
      <c r="W869">
        <v>526.02838978093405</v>
      </c>
      <c r="X869">
        <v>520.26972876221862</v>
      </c>
      <c r="Y869">
        <v>516.47826861170449</v>
      </c>
      <c r="Z869">
        <v>514.43588462480864</v>
      </c>
      <c r="AA869">
        <v>513.92129430261207</v>
      </c>
      <c r="AB869">
        <v>514.71</v>
      </c>
      <c r="AC869">
        <v>3.169</v>
      </c>
      <c r="AD869">
        <v>3.3389687401325938</v>
      </c>
      <c r="AE869">
        <v>3.5244148004452054</v>
      </c>
      <c r="AF869">
        <v>3.7274337670007989</v>
      </c>
      <c r="AG869">
        <v>3.9505111177300654</v>
      </c>
      <c r="AH869">
        <v>4.1966168747732535</v>
      </c>
      <c r="AI869">
        <v>4.4693291985914172</v>
      </c>
      <c r="AJ869">
        <v>4.7729977985304828</v>
      </c>
      <c r="AK869">
        <v>5.1129629687172917</v>
      </c>
      <c r="AL869">
        <v>5.4958536623845164</v>
      </c>
      <c r="AM869">
        <v>5.93</v>
      </c>
    </row>
    <row r="870" spans="2:39">
      <c r="B870" t="s">
        <v>1050</v>
      </c>
      <c r="C870" s="11" t="s">
        <v>2326</v>
      </c>
      <c r="D870" t="s">
        <v>176</v>
      </c>
      <c r="E870">
        <v>0.98522167487699996</v>
      </c>
      <c r="F870">
        <v>0.88700000000000001</v>
      </c>
      <c r="G870">
        <v>0.98619329388599997</v>
      </c>
      <c r="H870">
        <v>1.036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</row>
    <row r="871" spans="2:39">
      <c r="B871" t="s">
        <v>1051</v>
      </c>
      <c r="C871" s="11" t="s">
        <v>2327</v>
      </c>
      <c r="D871" t="s">
        <v>176</v>
      </c>
      <c r="E871">
        <v>0.98986379999999996</v>
      </c>
      <c r="F871">
        <v>0.90463000000000005</v>
      </c>
      <c r="G871">
        <v>1</v>
      </c>
      <c r="H871">
        <v>1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</row>
    <row r="872" spans="2:39">
      <c r="B872" t="s">
        <v>1052</v>
      </c>
      <c r="C872" s="11" t="s">
        <v>2328</v>
      </c>
      <c r="D872" t="s">
        <v>176</v>
      </c>
      <c r="E872">
        <v>0.97813000000000005</v>
      </c>
      <c r="F872">
        <v>0.90590000000000004</v>
      </c>
      <c r="G872">
        <v>1</v>
      </c>
      <c r="H872">
        <v>1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</row>
    <row r="873" spans="2:39">
      <c r="B873" t="s">
        <v>1053</v>
      </c>
      <c r="C873" s="11" t="s">
        <v>2329</v>
      </c>
      <c r="D873" t="s">
        <v>176</v>
      </c>
      <c r="E873">
        <v>0.98697000000000001</v>
      </c>
      <c r="F873">
        <v>0.90681</v>
      </c>
      <c r="G873">
        <v>1</v>
      </c>
      <c r="H873">
        <v>1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</row>
    <row r="874" spans="2:39">
      <c r="B874" t="s">
        <v>1054</v>
      </c>
      <c r="C874" s="11" t="s">
        <v>2330</v>
      </c>
      <c r="D874" t="s">
        <v>176</v>
      </c>
      <c r="E874">
        <v>1.0214504596530001</v>
      </c>
      <c r="F874">
        <v>0.9</v>
      </c>
      <c r="G874">
        <v>1</v>
      </c>
      <c r="H874">
        <v>1.048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</row>
    <row r="875" spans="2:39">
      <c r="B875" t="s">
        <v>1055</v>
      </c>
      <c r="C875" s="11" t="s">
        <v>2331</v>
      </c>
      <c r="D875" t="s">
        <v>176</v>
      </c>
      <c r="E875">
        <v>1.004016064257</v>
      </c>
      <c r="F875">
        <v>0.89400000000000002</v>
      </c>
      <c r="G875">
        <v>1</v>
      </c>
      <c r="H875">
        <v>1.0589999999999999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</row>
    <row r="876" spans="2:39" hidden="1">
      <c r="B876" t="s">
        <v>1056</v>
      </c>
      <c r="C876" s="11" t="s">
        <v>2332</v>
      </c>
      <c r="D876" t="s">
        <v>168</v>
      </c>
      <c r="E876">
        <v>1</v>
      </c>
      <c r="F876">
        <v>1.0174000000000001</v>
      </c>
      <c r="G876">
        <v>1</v>
      </c>
      <c r="H876">
        <v>0.90949999999999998</v>
      </c>
      <c r="I876">
        <v>0.33119999999999999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R876">
        <v>719</v>
      </c>
      <c r="S876">
        <v>698.94346048811417</v>
      </c>
      <c r="T876">
        <v>678.80415197886975</v>
      </c>
      <c r="U876">
        <v>658.5820744722663</v>
      </c>
      <c r="V876">
        <v>638.27722796830449</v>
      </c>
      <c r="W876">
        <v>617.88961246698386</v>
      </c>
      <c r="X876">
        <v>597.41922796830443</v>
      </c>
      <c r="Y876">
        <v>576.86607447226652</v>
      </c>
      <c r="Z876">
        <v>556.23015197886969</v>
      </c>
      <c r="AA876">
        <v>535.51146048811415</v>
      </c>
      <c r="AB876">
        <v>514.71</v>
      </c>
      <c r="AC876">
        <v>5.88</v>
      </c>
      <c r="AD876">
        <v>5.9820871168841894</v>
      </c>
      <c r="AE876">
        <v>6.0651444862200909</v>
      </c>
      <c r="AF876">
        <v>6.1274352669450121</v>
      </c>
      <c r="AG876">
        <v>6.1676088100524531</v>
      </c>
      <c r="AH876">
        <v>6.1847718896836152</v>
      </c>
      <c r="AI876">
        <v>6.1785375600635479</v>
      </c>
      <c r="AJ876">
        <v>6.1490467466190584</v>
      </c>
      <c r="AK876">
        <v>6.0969603528501572</v>
      </c>
      <c r="AL876">
        <v>6.0234226978923333</v>
      </c>
      <c r="AM876">
        <v>5.93</v>
      </c>
    </row>
    <row r="877" spans="2:39" hidden="1">
      <c r="B877" t="s">
        <v>1057</v>
      </c>
      <c r="C877" s="11" t="s">
        <v>2333</v>
      </c>
      <c r="D877" t="s">
        <v>168</v>
      </c>
      <c r="E877">
        <v>1</v>
      </c>
      <c r="F877">
        <v>0.99329999999999996</v>
      </c>
      <c r="G877">
        <v>1</v>
      </c>
      <c r="H877">
        <v>1</v>
      </c>
      <c r="I877">
        <v>-0.64749999999999996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R877">
        <v>553.6</v>
      </c>
      <c r="S877">
        <v>553.76644055999532</v>
      </c>
      <c r="T877">
        <v>554.08300543999155</v>
      </c>
      <c r="U877">
        <v>554.54969463998873</v>
      </c>
      <c r="V877">
        <v>555.16650815998719</v>
      </c>
      <c r="W877">
        <v>555.93344599998659</v>
      </c>
      <c r="X877">
        <v>556.85050815998716</v>
      </c>
      <c r="Y877">
        <v>557.91769463998878</v>
      </c>
      <c r="Z877">
        <v>559.13500543999146</v>
      </c>
      <c r="AA877">
        <v>560.50244055999519</v>
      </c>
      <c r="AB877">
        <v>562.02</v>
      </c>
      <c r="AC877">
        <v>3.2240000000000002</v>
      </c>
      <c r="AD877">
        <v>3.2825955887813203</v>
      </c>
      <c r="AE877">
        <v>3.3429785293203076</v>
      </c>
      <c r="AF877">
        <v>3.4052282096517175</v>
      </c>
      <c r="AG877">
        <v>3.4694287331287819</v>
      </c>
      <c r="AH877">
        <v>3.5356692726275258</v>
      </c>
      <c r="AI877">
        <v>3.604044457137646</v>
      </c>
      <c r="AJ877">
        <v>3.6746547942473762</v>
      </c>
      <c r="AK877">
        <v>3.7476071324706686</v>
      </c>
      <c r="AL877">
        <v>3.8230151678692472</v>
      </c>
      <c r="AM877">
        <v>3.9009999999999998</v>
      </c>
    </row>
    <row r="878" spans="2:39">
      <c r="B878" t="s">
        <v>1058</v>
      </c>
      <c r="C878" s="11" t="s">
        <v>2334</v>
      </c>
      <c r="D878" t="s">
        <v>176</v>
      </c>
      <c r="E878">
        <v>1</v>
      </c>
      <c r="F878">
        <v>0.98580000000000001</v>
      </c>
      <c r="G878">
        <v>1</v>
      </c>
      <c r="H878">
        <v>1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</row>
    <row r="879" spans="2:39" hidden="1">
      <c r="B879" t="s">
        <v>1059</v>
      </c>
      <c r="C879" s="11" t="s">
        <v>2335</v>
      </c>
      <c r="D879" t="s">
        <v>168</v>
      </c>
      <c r="E879">
        <v>1</v>
      </c>
      <c r="F879">
        <v>0.98699999999999999</v>
      </c>
      <c r="G879">
        <v>1</v>
      </c>
      <c r="H879">
        <v>1.0069999999999999</v>
      </c>
      <c r="I879">
        <v>-0.67500000000000004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R879">
        <v>540.20000000000005</v>
      </c>
      <c r="S879">
        <v>541.0732153193552</v>
      </c>
      <c r="T879">
        <v>542.23727167885374</v>
      </c>
      <c r="U879">
        <v>543.69216907849523</v>
      </c>
      <c r="V879">
        <v>545.43790751828033</v>
      </c>
      <c r="W879">
        <v>547.4744869982087</v>
      </c>
      <c r="X879">
        <v>549.80190751828036</v>
      </c>
      <c r="Y879">
        <v>552.42016907849529</v>
      </c>
      <c r="Z879">
        <v>555.32927167885362</v>
      </c>
      <c r="AA879">
        <v>558.5292153193551</v>
      </c>
      <c r="AB879">
        <v>562.02</v>
      </c>
      <c r="AC879">
        <v>2.33</v>
      </c>
      <c r="AD879">
        <v>2.4331283938094064</v>
      </c>
      <c r="AE879">
        <v>2.5445030407499178</v>
      </c>
      <c r="AF879">
        <v>2.665130535285519</v>
      </c>
      <c r="AG879">
        <v>2.7961875821148063</v>
      </c>
      <c r="AH879">
        <v>2.9390584919064082</v>
      </c>
      <c r="AI879">
        <v>3.0953830511148905</v>
      </c>
      <c r="AJ879">
        <v>3.2671182763035826</v>
      </c>
      <c r="AK879">
        <v>3.4566189899260973</v>
      </c>
      <c r="AL879">
        <v>3.6667442680994755</v>
      </c>
      <c r="AM879">
        <v>3.9009999999999998</v>
      </c>
    </row>
    <row r="880" spans="2:39">
      <c r="B880" t="s">
        <v>1060</v>
      </c>
      <c r="C880" s="11" t="s">
        <v>2336</v>
      </c>
      <c r="D880" t="s">
        <v>176</v>
      </c>
      <c r="E880">
        <v>1.0086099992590001</v>
      </c>
      <c r="F880">
        <v>0.96997999999999995</v>
      </c>
      <c r="G880">
        <v>1</v>
      </c>
      <c r="H880">
        <v>1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</row>
    <row r="881" spans="2:39">
      <c r="B881" t="s">
        <v>1061</v>
      </c>
      <c r="C881" s="11" t="s">
        <v>2337</v>
      </c>
      <c r="D881" t="s">
        <v>176</v>
      </c>
      <c r="E881">
        <v>1.0029999999999999</v>
      </c>
      <c r="F881">
        <v>0.98</v>
      </c>
      <c r="G881">
        <v>1</v>
      </c>
      <c r="H881">
        <v>1.014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</row>
    <row r="882" spans="2:39" hidden="1">
      <c r="B882" t="s">
        <v>1062</v>
      </c>
      <c r="C882" s="11" t="s">
        <v>2338</v>
      </c>
      <c r="D882" t="s">
        <v>168</v>
      </c>
      <c r="E882">
        <v>1</v>
      </c>
      <c r="F882">
        <v>1</v>
      </c>
      <c r="G882">
        <v>1</v>
      </c>
      <c r="H882">
        <v>1.004</v>
      </c>
      <c r="I882">
        <v>6.8000000000000005E-2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R882">
        <v>591.75</v>
      </c>
      <c r="S882">
        <v>588.74252095741031</v>
      </c>
      <c r="T882">
        <v>585.74270392428502</v>
      </c>
      <c r="U882">
        <v>582.75054890062393</v>
      </c>
      <c r="V882">
        <v>579.76605588642735</v>
      </c>
      <c r="W882">
        <v>576.78922488169519</v>
      </c>
      <c r="X882">
        <v>573.82005588642733</v>
      </c>
      <c r="Y882">
        <v>570.85854890062387</v>
      </c>
      <c r="Z882">
        <v>567.90470392428483</v>
      </c>
      <c r="AA882">
        <v>564.9585209574102</v>
      </c>
      <c r="AB882">
        <v>562.02</v>
      </c>
      <c r="AC882">
        <v>3.169</v>
      </c>
      <c r="AD882">
        <v>3.2293855578296204</v>
      </c>
      <c r="AE882">
        <v>3.2921670124639015</v>
      </c>
      <c r="AF882">
        <v>3.3574897809418891</v>
      </c>
      <c r="AG882">
        <v>3.4255112913588253</v>
      </c>
      <c r="AH882">
        <v>3.4964022491142974</v>
      </c>
      <c r="AI882">
        <v>3.5703480668015528</v>
      </c>
      <c r="AJ882">
        <v>3.6475504829535996</v>
      </c>
      <c r="AK882">
        <v>3.7282293994022178</v>
      </c>
      <c r="AL882">
        <v>3.8126249724875323</v>
      </c>
      <c r="AM882">
        <v>3.9009999999999998</v>
      </c>
    </row>
    <row r="883" spans="2:39" hidden="1">
      <c r="B883" t="s">
        <v>1063</v>
      </c>
      <c r="C883" s="11" t="s">
        <v>2339</v>
      </c>
      <c r="D883" t="s">
        <v>168</v>
      </c>
      <c r="E883">
        <v>1</v>
      </c>
      <c r="F883">
        <v>0.99399999999999999</v>
      </c>
      <c r="G883">
        <v>1</v>
      </c>
      <c r="H883">
        <v>1.016</v>
      </c>
      <c r="I883">
        <v>-0.92400000000000004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R883">
        <v>568.74</v>
      </c>
      <c r="S883">
        <v>567.45560323236464</v>
      </c>
      <c r="T883">
        <v>566.30729463531497</v>
      </c>
      <c r="U883">
        <v>565.29507420885068</v>
      </c>
      <c r="V883">
        <v>564.41894195297232</v>
      </c>
      <c r="W883">
        <v>563.67889786767955</v>
      </c>
      <c r="X883">
        <v>563.07494195297227</v>
      </c>
      <c r="Y883">
        <v>562.60707420885069</v>
      </c>
      <c r="Z883">
        <v>562.27529463531482</v>
      </c>
      <c r="AA883">
        <v>562.07960323236466</v>
      </c>
      <c r="AB883">
        <v>562.02</v>
      </c>
      <c r="AC883">
        <v>2.0310000000000001</v>
      </c>
      <c r="AD883">
        <v>2.1389705605183065</v>
      </c>
      <c r="AE883">
        <v>2.2576471810000904</v>
      </c>
      <c r="AF883">
        <v>2.3886788234430525</v>
      </c>
      <c r="AG883">
        <v>2.5340706561374016</v>
      </c>
      <c r="AH883">
        <v>2.6962857009056287</v>
      </c>
      <c r="AI883">
        <v>2.8783833932173564</v>
      </c>
      <c r="AJ883">
        <v>3.0842117015583166</v>
      </c>
      <c r="AK883">
        <v>3.3186786225332878</v>
      </c>
      <c r="AL883">
        <v>3.588144141598236</v>
      </c>
      <c r="AM883">
        <v>3.9009999999999998</v>
      </c>
    </row>
    <row r="884" spans="2:39">
      <c r="B884" t="s">
        <v>1064</v>
      </c>
      <c r="C884" s="11" t="s">
        <v>2340</v>
      </c>
      <c r="D884" t="s">
        <v>176</v>
      </c>
      <c r="E884">
        <v>0.99807000000000001</v>
      </c>
      <c r="F884">
        <v>1.0142500000000001</v>
      </c>
      <c r="G884">
        <v>1</v>
      </c>
      <c r="H884">
        <v>1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</row>
    <row r="885" spans="2:39">
      <c r="B885" t="s">
        <v>1065</v>
      </c>
      <c r="C885" s="11" t="s">
        <v>2341</v>
      </c>
      <c r="D885" t="s">
        <v>176</v>
      </c>
      <c r="E885">
        <v>1.00112</v>
      </c>
      <c r="F885">
        <v>1.0063899999999999</v>
      </c>
      <c r="G885">
        <v>1</v>
      </c>
      <c r="H885">
        <v>1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</row>
    <row r="886" spans="2:39">
      <c r="B886" t="s">
        <v>1066</v>
      </c>
      <c r="C886" s="11" t="s">
        <v>2342</v>
      </c>
      <c r="D886" t="s">
        <v>176</v>
      </c>
      <c r="E886">
        <v>0.99895999999999996</v>
      </c>
      <c r="F886">
        <v>1.00464</v>
      </c>
      <c r="G886">
        <v>1</v>
      </c>
      <c r="H886">
        <v>1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</row>
    <row r="887" spans="2:39">
      <c r="B887" t="s">
        <v>1067</v>
      </c>
      <c r="C887" s="11" t="s">
        <v>2343</v>
      </c>
      <c r="D887" t="s">
        <v>176</v>
      </c>
      <c r="E887">
        <v>1.01414</v>
      </c>
      <c r="F887">
        <v>1.00329</v>
      </c>
      <c r="G887">
        <v>1</v>
      </c>
      <c r="H887">
        <v>1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</row>
    <row r="888" spans="2:39" hidden="1">
      <c r="B888" t="s">
        <v>1068</v>
      </c>
      <c r="C888" s="11" t="s">
        <v>2344</v>
      </c>
      <c r="D888" t="s">
        <v>168</v>
      </c>
      <c r="E888">
        <v>1.0050251256280001</v>
      </c>
      <c r="F888">
        <v>1</v>
      </c>
      <c r="G888">
        <v>1</v>
      </c>
      <c r="H888">
        <v>1</v>
      </c>
      <c r="I888">
        <v>-1.1930000000000001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R888">
        <v>594.54999999999995</v>
      </c>
      <c r="S888">
        <v>591.67342764260229</v>
      </c>
      <c r="T888">
        <v>588.52645835848966</v>
      </c>
      <c r="U888">
        <v>585.17961444691764</v>
      </c>
      <c r="V888">
        <v>581.70313512894541</v>
      </c>
      <c r="W888">
        <v>578.16697796636402</v>
      </c>
      <c r="X888">
        <v>574.64082027209986</v>
      </c>
      <c r="Y888">
        <v>571.19406051215174</v>
      </c>
      <c r="Z888">
        <v>567.89581969911944</v>
      </c>
      <c r="AA888">
        <v>564.81494277738432</v>
      </c>
      <c r="AB888">
        <v>562.02</v>
      </c>
      <c r="AC888">
        <v>1.8099999999999998</v>
      </c>
      <c r="AD888">
        <v>1.9249366507009227</v>
      </c>
      <c r="AE888">
        <v>2.0522969966044204</v>
      </c>
      <c r="AF888">
        <v>2.1940887630762425</v>
      </c>
      <c r="AG888">
        <v>2.3527689716111739</v>
      </c>
      <c r="AH888">
        <v>2.5313763678806707</v>
      </c>
      <c r="AI888">
        <v>2.7337135456151826</v>
      </c>
      <c r="AJ888">
        <v>2.9646019650556248</v>
      </c>
      <c r="AK888">
        <v>3.2302463240318056</v>
      </c>
      <c r="AL888">
        <v>3.5387671804590881</v>
      </c>
      <c r="AM888">
        <v>3.9009999999999998</v>
      </c>
    </row>
    <row r="889" spans="2:39" hidden="1">
      <c r="B889" t="s">
        <v>1069</v>
      </c>
      <c r="C889" s="11" t="s">
        <v>2345</v>
      </c>
      <c r="D889" t="s">
        <v>168</v>
      </c>
      <c r="E889">
        <v>1.0080645161290001</v>
      </c>
      <c r="F889">
        <v>1.052</v>
      </c>
      <c r="G889">
        <v>1</v>
      </c>
      <c r="H889">
        <v>1</v>
      </c>
      <c r="I889">
        <v>-2.444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R889">
        <v>617.70000000000005</v>
      </c>
      <c r="S889">
        <v>618.24653972207739</v>
      </c>
      <c r="T889">
        <v>617.11206159213816</v>
      </c>
      <c r="U889">
        <v>614.41876549196991</v>
      </c>
      <c r="V889">
        <v>610.28806483251446</v>
      </c>
      <c r="W889">
        <v>604.84059287080072</v>
      </c>
      <c r="X889">
        <v>598.19620896608922</v>
      </c>
      <c r="Y889">
        <v>590.47400477591316</v>
      </c>
      <c r="Z889">
        <v>581.79231039268325</v>
      </c>
      <c r="AA889">
        <v>572.26870042152473</v>
      </c>
      <c r="AB889">
        <v>562.02</v>
      </c>
      <c r="AC889">
        <v>1.6400000000000001</v>
      </c>
      <c r="AD889">
        <v>1.7547430029248561</v>
      </c>
      <c r="AE889">
        <v>1.8831724370824239</v>
      </c>
      <c r="AF889">
        <v>2.0277374896298239</v>
      </c>
      <c r="AG889">
        <v>2.1914973328500671</v>
      </c>
      <c r="AH889">
        <v>2.3783224805227077</v>
      </c>
      <c r="AI889">
        <v>2.5931813980893907</v>
      </c>
      <c r="AJ889">
        <v>2.8425576540215101</v>
      </c>
      <c r="AK889">
        <v>3.1350726472351322</v>
      </c>
      <c r="AL889">
        <v>3.4824426407199871</v>
      </c>
      <c r="AM889">
        <v>3.9009999999999998</v>
      </c>
    </row>
    <row r="890" spans="2:39">
      <c r="B890" t="s">
        <v>1070</v>
      </c>
      <c r="C890" s="11" t="s">
        <v>2346</v>
      </c>
      <c r="D890" t="s">
        <v>176</v>
      </c>
      <c r="E890">
        <v>1.0122199999999999</v>
      </c>
      <c r="F890">
        <v>0.98953999999999998</v>
      </c>
      <c r="G890">
        <v>1</v>
      </c>
      <c r="H890">
        <v>1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</row>
    <row r="891" spans="2:39">
      <c r="B891" t="s">
        <v>1071</v>
      </c>
      <c r="C891" s="11" t="s">
        <v>2347</v>
      </c>
      <c r="D891" t="s">
        <v>176</v>
      </c>
      <c r="E891">
        <v>1.0071700435399999</v>
      </c>
      <c r="F891">
        <v>1.0254700000000001</v>
      </c>
      <c r="G891">
        <v>1</v>
      </c>
      <c r="H891">
        <v>1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</row>
    <row r="892" spans="2:39">
      <c r="B892" t="s">
        <v>1072</v>
      </c>
      <c r="C892" s="11" t="s">
        <v>2348</v>
      </c>
      <c r="D892" t="s">
        <v>176</v>
      </c>
      <c r="E892">
        <v>1.0091000000000001</v>
      </c>
      <c r="F892">
        <v>0.92989999999999995</v>
      </c>
      <c r="G892">
        <v>1</v>
      </c>
      <c r="H892">
        <v>1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</row>
    <row r="893" spans="2:39" hidden="1">
      <c r="B893" t="s">
        <v>1073</v>
      </c>
      <c r="C893" s="11" t="s">
        <v>2349</v>
      </c>
      <c r="D893" t="s">
        <v>168</v>
      </c>
      <c r="E893">
        <v>1</v>
      </c>
      <c r="F893">
        <v>1</v>
      </c>
      <c r="G893">
        <v>1</v>
      </c>
      <c r="H893">
        <v>1.0015000000000001</v>
      </c>
      <c r="I893">
        <v>-0.25390000000000001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R893">
        <v>540.20000000000005</v>
      </c>
      <c r="S893">
        <v>541.53261244907719</v>
      </c>
      <c r="T893">
        <v>542.86686657613723</v>
      </c>
      <c r="U893">
        <v>544.20276238117981</v>
      </c>
      <c r="V893">
        <v>545.54029986420551</v>
      </c>
      <c r="W893">
        <v>546.8794790252141</v>
      </c>
      <c r="X893">
        <v>548.22029986420557</v>
      </c>
      <c r="Y893">
        <v>549.56276238117982</v>
      </c>
      <c r="Z893">
        <v>550.90686657613708</v>
      </c>
      <c r="AA893">
        <v>552.25261244907711</v>
      </c>
      <c r="AB893">
        <v>553.6</v>
      </c>
      <c r="AC893">
        <v>2.33</v>
      </c>
      <c r="AD893">
        <v>2.3992103762030594</v>
      </c>
      <c r="AE893">
        <v>2.4720067401788794</v>
      </c>
      <c r="AF893">
        <v>2.5486663011013402</v>
      </c>
      <c r="AG893">
        <v>2.6294954035320464</v>
      </c>
      <c r="AH893">
        <v>2.7148334530540703</v>
      </c>
      <c r="AI893">
        <v>2.8050574940153843</v>
      </c>
      <c r="AJ893">
        <v>2.9005875693531302</v>
      </c>
      <c r="AK893">
        <v>3.0018930229421721</v>
      </c>
      <c r="AL893">
        <v>3.1094999436637263</v>
      </c>
      <c r="AM893">
        <v>3.2240000000000002</v>
      </c>
    </row>
    <row r="894" spans="2:39">
      <c r="B894" t="s">
        <v>1074</v>
      </c>
      <c r="C894" s="11" t="s">
        <v>2350</v>
      </c>
      <c r="D894" t="s">
        <v>176</v>
      </c>
      <c r="E894">
        <v>1.0019000031659999</v>
      </c>
      <c r="F894">
        <v>0.99375000000000002</v>
      </c>
      <c r="G894">
        <v>1</v>
      </c>
      <c r="H894">
        <v>1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</row>
    <row r="895" spans="2:39">
      <c r="B895" t="s">
        <v>1075</v>
      </c>
      <c r="C895" s="11" t="s">
        <v>2351</v>
      </c>
      <c r="D895" t="s">
        <v>176</v>
      </c>
      <c r="E895">
        <v>1</v>
      </c>
      <c r="F895">
        <v>1</v>
      </c>
      <c r="G895">
        <v>1</v>
      </c>
      <c r="H895">
        <v>1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</row>
    <row r="896" spans="2:39" hidden="1">
      <c r="B896" t="s">
        <v>1076</v>
      </c>
      <c r="C896" s="11" t="s">
        <v>2352</v>
      </c>
      <c r="D896" t="s">
        <v>168</v>
      </c>
      <c r="E896">
        <v>1</v>
      </c>
      <c r="F896">
        <v>1</v>
      </c>
      <c r="G896">
        <v>1</v>
      </c>
      <c r="H896">
        <v>0.99790000000000001</v>
      </c>
      <c r="I896">
        <v>0.58650000000000002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R896">
        <v>591.75</v>
      </c>
      <c r="S896">
        <v>587.87780159918589</v>
      </c>
      <c r="T896">
        <v>584.01831395410818</v>
      </c>
      <c r="U896">
        <v>580.17153706476688</v>
      </c>
      <c r="V896">
        <v>576.33747093116222</v>
      </c>
      <c r="W896">
        <v>572.51611555329396</v>
      </c>
      <c r="X896">
        <v>568.70747093116211</v>
      </c>
      <c r="Y896">
        <v>564.91153706476689</v>
      </c>
      <c r="Z896">
        <v>561.12831395410808</v>
      </c>
      <c r="AA896">
        <v>557.3578015991859</v>
      </c>
      <c r="AB896">
        <v>553.6</v>
      </c>
      <c r="AC896">
        <v>3.169</v>
      </c>
      <c r="AD896">
        <v>3.1756215676014103</v>
      </c>
      <c r="AE896">
        <v>3.1820016264931499</v>
      </c>
      <c r="AF896">
        <v>3.1881370957532886</v>
      </c>
      <c r="AG896">
        <v>3.194024994761504</v>
      </c>
      <c r="AH896">
        <v>3.1996624467053474</v>
      </c>
      <c r="AI896">
        <v>3.2050466819936934</v>
      </c>
      <c r="AJ896">
        <v>3.2101750415700443</v>
      </c>
      <c r="AK896">
        <v>3.2150449801185252</v>
      </c>
      <c r="AL896">
        <v>3.2196540691555033</v>
      </c>
      <c r="AM896">
        <v>3.2240000000000002</v>
      </c>
    </row>
    <row r="897" spans="2:39" hidden="1">
      <c r="B897" t="s">
        <v>1077</v>
      </c>
      <c r="C897" s="11" t="s">
        <v>2353</v>
      </c>
      <c r="D897" t="s">
        <v>168</v>
      </c>
      <c r="E897">
        <v>1</v>
      </c>
      <c r="F897">
        <v>1.008</v>
      </c>
      <c r="G897">
        <v>1</v>
      </c>
      <c r="H897">
        <v>1.0068999999999999</v>
      </c>
      <c r="I897">
        <v>-0.35799999999999998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R897">
        <v>568.74</v>
      </c>
      <c r="S897">
        <v>568.02482033993795</v>
      </c>
      <c r="T897">
        <v>567.13212504877856</v>
      </c>
      <c r="U897">
        <v>566.06191412652174</v>
      </c>
      <c r="V897">
        <v>564.8141875731676</v>
      </c>
      <c r="W897">
        <v>563.38894538871637</v>
      </c>
      <c r="X897">
        <v>561.78618757316758</v>
      </c>
      <c r="Y897">
        <v>560.0059141265217</v>
      </c>
      <c r="Z897">
        <v>558.0481250487785</v>
      </c>
      <c r="AA897">
        <v>555.91282033993798</v>
      </c>
      <c r="AB897">
        <v>553.6</v>
      </c>
      <c r="AC897">
        <v>2.0310000000000001</v>
      </c>
      <c r="AD897">
        <v>2.1124649626737364</v>
      </c>
      <c r="AE897">
        <v>2.1999117710763985</v>
      </c>
      <c r="AF897">
        <v>2.2940123318681347</v>
      </c>
      <c r="AG897">
        <v>2.3955428256481732</v>
      </c>
      <c r="AH897">
        <v>2.5054047437285694</v>
      </c>
      <c r="AI897">
        <v>2.6246512316576496</v>
      </c>
      <c r="AJ897">
        <v>2.7545203698254932</v>
      </c>
      <c r="AK897">
        <v>2.8964776201801885</v>
      </c>
      <c r="AL897">
        <v>3.0522705260170553</v>
      </c>
      <c r="AM897">
        <v>3.2240000000000002</v>
      </c>
    </row>
    <row r="898" spans="2:39">
      <c r="B898" t="s">
        <v>1078</v>
      </c>
      <c r="C898" s="11" t="s">
        <v>2354</v>
      </c>
      <c r="D898" t="s">
        <v>176</v>
      </c>
      <c r="E898">
        <v>1.0043</v>
      </c>
      <c r="F898">
        <v>0.99414000000000002</v>
      </c>
      <c r="G898">
        <v>1</v>
      </c>
      <c r="H898">
        <v>1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</row>
    <row r="899" spans="2:39">
      <c r="B899" t="s">
        <v>1079</v>
      </c>
      <c r="C899" s="11" t="s">
        <v>2355</v>
      </c>
      <c r="D899" t="s">
        <v>176</v>
      </c>
      <c r="E899">
        <v>1.0018400000000001</v>
      </c>
      <c r="F899">
        <v>0.99197999999999997</v>
      </c>
      <c r="G899">
        <v>1</v>
      </c>
      <c r="H899">
        <v>1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</row>
    <row r="900" spans="2:39">
      <c r="B900" t="s">
        <v>1080</v>
      </c>
      <c r="C900" s="11" t="s">
        <v>2356</v>
      </c>
      <c r="D900" t="s">
        <v>176</v>
      </c>
      <c r="E900">
        <v>1.00315</v>
      </c>
      <c r="F900">
        <v>0.99328000000000005</v>
      </c>
      <c r="G900">
        <v>1</v>
      </c>
      <c r="H900">
        <v>1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</row>
    <row r="901" spans="2:39">
      <c r="B901" t="s">
        <v>1081</v>
      </c>
      <c r="C901" s="11" t="s">
        <v>2357</v>
      </c>
      <c r="D901" t="s">
        <v>176</v>
      </c>
      <c r="E901">
        <v>1.0039199999999999</v>
      </c>
      <c r="F901">
        <v>0.99006000000000005</v>
      </c>
      <c r="G901">
        <v>1</v>
      </c>
      <c r="H901">
        <v>1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</row>
    <row r="902" spans="2:39" hidden="1">
      <c r="B902" t="s">
        <v>1082</v>
      </c>
      <c r="C902" s="11" t="s">
        <v>2358</v>
      </c>
      <c r="D902" t="s">
        <v>168</v>
      </c>
      <c r="E902">
        <v>1</v>
      </c>
      <c r="F902">
        <v>1.0149999999999999</v>
      </c>
      <c r="G902">
        <v>1</v>
      </c>
      <c r="H902">
        <v>1.0089999999999999</v>
      </c>
      <c r="I902">
        <v>-0.35799999999999998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R902">
        <v>594.54999999999995</v>
      </c>
      <c r="S902">
        <v>591.93827176365994</v>
      </c>
      <c r="T902">
        <v>588.99692757984008</v>
      </c>
      <c r="U902">
        <v>585.72596744854002</v>
      </c>
      <c r="V902">
        <v>582.12539136976011</v>
      </c>
      <c r="W902">
        <v>578.19519934350001</v>
      </c>
      <c r="X902">
        <v>573.93539136976005</v>
      </c>
      <c r="Y902">
        <v>569.34596744854002</v>
      </c>
      <c r="Z902">
        <v>564.42692757984014</v>
      </c>
      <c r="AA902">
        <v>559.17827176366006</v>
      </c>
      <c r="AB902">
        <v>553.6</v>
      </c>
      <c r="AC902">
        <v>1.8099999999999998</v>
      </c>
      <c r="AD902">
        <v>1.8980753258178438</v>
      </c>
      <c r="AE902">
        <v>1.9939181595197093</v>
      </c>
      <c r="AF902">
        <v>2.0985784618520902</v>
      </c>
      <c r="AG902">
        <v>2.2133035740590383</v>
      </c>
      <c r="AH902">
        <v>2.33958685489202</v>
      </c>
      <c r="AI902">
        <v>2.4792314432658116</v>
      </c>
      <c r="AJ902">
        <v>2.6344349343860518</v>
      </c>
      <c r="AK902">
        <v>2.8079034346267111</v>
      </c>
      <c r="AL902">
        <v>3.0030076168230164</v>
      </c>
      <c r="AM902">
        <v>3.2240000000000002</v>
      </c>
    </row>
    <row r="903" spans="2:39" hidden="1">
      <c r="B903" t="s">
        <v>1083</v>
      </c>
      <c r="C903" s="11" t="s">
        <v>2359</v>
      </c>
      <c r="D903" t="s">
        <v>168</v>
      </c>
      <c r="E903">
        <v>1</v>
      </c>
      <c r="F903">
        <v>1.0249999999999999</v>
      </c>
      <c r="G903">
        <v>1</v>
      </c>
      <c r="H903">
        <v>1.012</v>
      </c>
      <c r="I903">
        <v>-0.35799999999999998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R903">
        <v>617.70000000000005</v>
      </c>
      <c r="S903">
        <v>613.76350152112559</v>
      </c>
      <c r="T903">
        <v>609.27733603755667</v>
      </c>
      <c r="U903">
        <v>604.24150354929293</v>
      </c>
      <c r="V903">
        <v>598.65600405633495</v>
      </c>
      <c r="W903">
        <v>592.52083755868216</v>
      </c>
      <c r="X903">
        <v>585.8360040563349</v>
      </c>
      <c r="Y903">
        <v>578.60150354929306</v>
      </c>
      <c r="Z903">
        <v>570.81733603755663</v>
      </c>
      <c r="AA903">
        <v>562.48350152112562</v>
      </c>
      <c r="AB903">
        <v>553.6</v>
      </c>
      <c r="AC903">
        <v>1.6400000000000001</v>
      </c>
      <c r="AD903">
        <v>1.7308727533272792</v>
      </c>
      <c r="AE903">
        <v>1.8308750059719276</v>
      </c>
      <c r="AF903">
        <v>1.9414187528744695</v>
      </c>
      <c r="AG903">
        <v>2.0642216203400499</v>
      </c>
      <c r="AH903">
        <v>2.2013942234969255</v>
      </c>
      <c r="AI903">
        <v>2.355559299287346</v>
      </c>
      <c r="AJ903">
        <v>2.5300169693626606</v>
      </c>
      <c r="AK903">
        <v>2.7289784093217175</v>
      </c>
      <c r="AL903">
        <v>2.9579034059037408</v>
      </c>
      <c r="AM903">
        <v>3.2240000000000002</v>
      </c>
    </row>
    <row r="904" spans="2:39" hidden="1">
      <c r="B904" t="s">
        <v>1084</v>
      </c>
      <c r="C904" s="11" t="s">
        <v>2360</v>
      </c>
      <c r="D904" t="s">
        <v>168</v>
      </c>
      <c r="E904">
        <v>1</v>
      </c>
      <c r="F904">
        <v>1.04</v>
      </c>
      <c r="G904">
        <v>1</v>
      </c>
      <c r="H904">
        <v>1.014</v>
      </c>
      <c r="I904">
        <v>-0.35799999999999998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R904">
        <v>638.79999999999995</v>
      </c>
      <c r="S904">
        <v>634.28736845232083</v>
      </c>
      <c r="T904">
        <v>628.88421058190397</v>
      </c>
      <c r="U904">
        <v>622.5905263887488</v>
      </c>
      <c r="V904">
        <v>615.40631587285577</v>
      </c>
      <c r="W904">
        <v>607.33157903422489</v>
      </c>
      <c r="X904">
        <v>598.36631587285581</v>
      </c>
      <c r="Y904">
        <v>588.51052638874876</v>
      </c>
      <c r="Z904">
        <v>577.76421058190385</v>
      </c>
      <c r="AA904">
        <v>566.12736845232098</v>
      </c>
      <c r="AB904">
        <v>553.6</v>
      </c>
      <c r="AC904">
        <v>1.5148999999999999</v>
      </c>
      <c r="AD904">
        <v>1.6067858390014995</v>
      </c>
      <c r="AE904">
        <v>1.7087482644111767</v>
      </c>
      <c r="AF904">
        <v>1.822491906789117</v>
      </c>
      <c r="AG904">
        <v>1.9501267224189311</v>
      </c>
      <c r="AH904">
        <v>2.0942959577704099</v>
      </c>
      <c r="AI904">
        <v>2.2583558520067717</v>
      </c>
      <c r="AJ904">
        <v>2.4466332451207706</v>
      </c>
      <c r="AK904">
        <v>2.6648035626681965</v>
      </c>
      <c r="AL904">
        <v>2.9204603438837937</v>
      </c>
      <c r="AM904">
        <v>3.2240000000000002</v>
      </c>
    </row>
    <row r="905" spans="2:39" hidden="1">
      <c r="B905" t="s">
        <v>1085</v>
      </c>
      <c r="C905" s="11" t="s">
        <v>2361</v>
      </c>
      <c r="D905" t="s">
        <v>168</v>
      </c>
      <c r="E905">
        <v>1</v>
      </c>
      <c r="F905">
        <v>1.0548</v>
      </c>
      <c r="G905">
        <v>1</v>
      </c>
      <c r="H905">
        <v>1.0166999999999999</v>
      </c>
      <c r="I905">
        <v>-0.35799999999999998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R905">
        <v>658.1</v>
      </c>
      <c r="S905">
        <v>653.19752635983332</v>
      </c>
      <c r="T905">
        <v>647.0622690841484</v>
      </c>
      <c r="U905">
        <v>639.69422817294458</v>
      </c>
      <c r="V905">
        <v>631.09340362622243</v>
      </c>
      <c r="W905">
        <v>621.2597954439816</v>
      </c>
      <c r="X905">
        <v>610.19340362622233</v>
      </c>
      <c r="Y905">
        <v>597.89422817294462</v>
      </c>
      <c r="Z905">
        <v>584.36226908414824</v>
      </c>
      <c r="AA905">
        <v>569.59752635983341</v>
      </c>
      <c r="AB905">
        <v>553.6</v>
      </c>
      <c r="AC905">
        <v>1.33</v>
      </c>
      <c r="AD905">
        <v>1.4216140496583576</v>
      </c>
      <c r="AE905">
        <v>1.5245674637844819</v>
      </c>
      <c r="AF905">
        <v>1.6410295891336983</v>
      </c>
      <c r="AG905">
        <v>1.773756734852888</v>
      </c>
      <c r="AH905">
        <v>1.9263047986687918</v>
      </c>
      <c r="AI905">
        <v>2.1033415143667948</v>
      </c>
      <c r="AJ905">
        <v>2.3111173847390734</v>
      </c>
      <c r="AK905">
        <v>2.5581980882200699</v>
      </c>
      <c r="AL905">
        <v>2.856644998630288</v>
      </c>
      <c r="AM905">
        <v>3.2240000000000002</v>
      </c>
    </row>
    <row r="906" spans="2:39">
      <c r="B906" t="s">
        <v>1086</v>
      </c>
      <c r="C906" s="11" t="s">
        <v>2362</v>
      </c>
      <c r="D906" t="s">
        <v>176</v>
      </c>
      <c r="E906">
        <v>1</v>
      </c>
      <c r="F906">
        <v>0.92559999999999998</v>
      </c>
      <c r="G906">
        <v>1</v>
      </c>
      <c r="H906">
        <v>1.0133000000000001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</row>
    <row r="907" spans="2:39">
      <c r="B907" t="s">
        <v>1087</v>
      </c>
      <c r="C907" s="11" t="s">
        <v>2363</v>
      </c>
      <c r="D907" t="s">
        <v>176</v>
      </c>
      <c r="E907">
        <v>0.94948727687000001</v>
      </c>
      <c r="F907">
        <v>0.85809999999999997</v>
      </c>
      <c r="G907">
        <v>1</v>
      </c>
      <c r="H907">
        <v>1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</row>
    <row r="908" spans="2:39">
      <c r="B908" t="s">
        <v>1088</v>
      </c>
      <c r="C908" s="11" t="s">
        <v>2364</v>
      </c>
      <c r="D908" t="s">
        <v>176</v>
      </c>
      <c r="E908">
        <v>1</v>
      </c>
      <c r="F908">
        <v>0.97660000000000002</v>
      </c>
      <c r="G908">
        <v>1</v>
      </c>
      <c r="H908">
        <v>1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</row>
    <row r="909" spans="2:39">
      <c r="B909" t="s">
        <v>1089</v>
      </c>
      <c r="C909" s="11" t="s">
        <v>2365</v>
      </c>
      <c r="D909" t="s">
        <v>176</v>
      </c>
      <c r="E909">
        <v>1.013479274349</v>
      </c>
      <c r="F909">
        <v>0.92469999999999997</v>
      </c>
      <c r="G909">
        <v>1</v>
      </c>
      <c r="H909">
        <v>1.0273000000000001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</row>
    <row r="910" spans="2:39">
      <c r="B910" t="s">
        <v>1090</v>
      </c>
      <c r="C910" s="11" t="s">
        <v>2366</v>
      </c>
      <c r="D910" t="s">
        <v>176</v>
      </c>
      <c r="E910">
        <v>1.0213461342050001</v>
      </c>
      <c r="F910">
        <v>0.93020000000000003</v>
      </c>
      <c r="G910">
        <v>1</v>
      </c>
      <c r="H910">
        <v>1.0357000000000001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</row>
    <row r="911" spans="2:39">
      <c r="B911" t="s">
        <v>1091</v>
      </c>
      <c r="C911" s="11" t="s">
        <v>2367</v>
      </c>
      <c r="D911" t="s">
        <v>176</v>
      </c>
      <c r="E911">
        <v>1.017293997965</v>
      </c>
      <c r="F911">
        <v>0.92169999999999996</v>
      </c>
      <c r="G911">
        <v>1</v>
      </c>
      <c r="H911">
        <v>1.0431999999999999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</row>
    <row r="912" spans="2:39">
      <c r="B912" t="s">
        <v>1092</v>
      </c>
      <c r="C912" s="11" t="s">
        <v>2368</v>
      </c>
      <c r="D912" t="s">
        <v>176</v>
      </c>
      <c r="E912">
        <v>0.98760000000000003</v>
      </c>
      <c r="F912">
        <v>0.98980000000000001</v>
      </c>
      <c r="G912">
        <v>1</v>
      </c>
      <c r="H912">
        <v>1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</row>
    <row r="913" spans="2:39" hidden="1">
      <c r="B913" t="s">
        <v>1093</v>
      </c>
      <c r="C913" s="11" t="s">
        <v>2369</v>
      </c>
      <c r="D913" t="s">
        <v>168</v>
      </c>
      <c r="E913">
        <v>1</v>
      </c>
      <c r="F913">
        <v>1</v>
      </c>
      <c r="G913">
        <v>1</v>
      </c>
      <c r="H913">
        <v>1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R913">
        <v>647.096</v>
      </c>
      <c r="S913">
        <v>635.97243050812074</v>
      </c>
      <c r="T913">
        <v>624.9452986811034</v>
      </c>
      <c r="U913">
        <v>614.01460451894798</v>
      </c>
      <c r="V913">
        <v>603.18034802165494</v>
      </c>
      <c r="W913">
        <v>592.44252918922393</v>
      </c>
      <c r="X913">
        <v>581.80114802165497</v>
      </c>
      <c r="Y913">
        <v>571.25620451894804</v>
      </c>
      <c r="Z913">
        <v>560.80769868110337</v>
      </c>
      <c r="AA913">
        <v>550.45563050812063</v>
      </c>
      <c r="AB913">
        <v>540.20000000000005</v>
      </c>
      <c r="AC913">
        <v>17.873727995599999</v>
      </c>
      <c r="AD913">
        <v>12.097404443203732</v>
      </c>
      <c r="AE913">
        <v>8.9498023483428533</v>
      </c>
      <c r="AF913">
        <v>6.985001551372088</v>
      </c>
      <c r="AG913">
        <v>5.6512788236844669</v>
      </c>
      <c r="AH913">
        <v>4.6927220573694814</v>
      </c>
      <c r="AI913">
        <v>3.9745880473985706</v>
      </c>
      <c r="AJ913">
        <v>3.4192885985504025</v>
      </c>
      <c r="AK913">
        <v>2.9790612062508575</v>
      </c>
      <c r="AL913">
        <v>2.6229400212344327</v>
      </c>
      <c r="AM913">
        <v>2.33</v>
      </c>
    </row>
    <row r="914" spans="2:39">
      <c r="B914" t="s">
        <v>1094</v>
      </c>
      <c r="C914" s="11" t="s">
        <v>2370</v>
      </c>
      <c r="D914" t="s">
        <v>176</v>
      </c>
      <c r="E914">
        <v>1</v>
      </c>
      <c r="F914">
        <v>0.998</v>
      </c>
      <c r="G914">
        <v>1</v>
      </c>
      <c r="H914">
        <v>1.0029999999999999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</row>
    <row r="915" spans="2:39" hidden="1">
      <c r="B915" t="s">
        <v>1095</v>
      </c>
      <c r="C915" s="11" t="s">
        <v>2371</v>
      </c>
      <c r="D915" t="s">
        <v>179</v>
      </c>
      <c r="E915">
        <v>0.99832900000000002</v>
      </c>
      <c r="F915">
        <v>0.98323459999999996</v>
      </c>
      <c r="G915">
        <v>1.0019167</v>
      </c>
      <c r="H915">
        <v>1.0026789</v>
      </c>
      <c r="I915">
        <v>-0.62815480000000001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</row>
    <row r="916" spans="2:39" hidden="1">
      <c r="B916" t="s">
        <v>1096</v>
      </c>
      <c r="C916" s="11" t="s">
        <v>2372</v>
      </c>
      <c r="D916" t="s">
        <v>168</v>
      </c>
      <c r="E916">
        <v>1</v>
      </c>
      <c r="F916">
        <v>0.99879311100000001</v>
      </c>
      <c r="G916">
        <v>1</v>
      </c>
      <c r="H916">
        <v>1.0067671760000001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R916">
        <v>568.74</v>
      </c>
      <c r="S916">
        <v>565.73252823352186</v>
      </c>
      <c r="T916">
        <v>562.75916130403891</v>
      </c>
      <c r="U916">
        <v>559.81989921155093</v>
      </c>
      <c r="V916">
        <v>556.91474195605815</v>
      </c>
      <c r="W916">
        <v>554.04368953756057</v>
      </c>
      <c r="X916">
        <v>551.20674195605829</v>
      </c>
      <c r="Y916">
        <v>548.40389921155088</v>
      </c>
      <c r="Z916">
        <v>545.63516130403889</v>
      </c>
      <c r="AA916">
        <v>542.90052823352187</v>
      </c>
      <c r="AB916">
        <v>540.20000000000005</v>
      </c>
      <c r="AC916">
        <v>2.0310000000000001</v>
      </c>
      <c r="AD916">
        <v>2.0555821804171481</v>
      </c>
      <c r="AE916">
        <v>2.0811807681721701</v>
      </c>
      <c r="AF916">
        <v>2.1078497000413323</v>
      </c>
      <c r="AG916">
        <v>2.1356470032725441</v>
      </c>
      <c r="AH916">
        <v>2.1646351848291658</v>
      </c>
      <c r="AI916">
        <v>2.1948816661439001</v>
      </c>
      <c r="AJ916">
        <v>2.2264592697061634</v>
      </c>
      <c r="AK916">
        <v>2.2594467648311145</v>
      </c>
      <c r="AL916">
        <v>2.2939294811740121</v>
      </c>
      <c r="AM916">
        <v>2.33</v>
      </c>
    </row>
    <row r="917" spans="2:39">
      <c r="B917" t="s">
        <v>1097</v>
      </c>
      <c r="C917" s="11" t="s">
        <v>2373</v>
      </c>
      <c r="D917" t="s">
        <v>176</v>
      </c>
      <c r="E917">
        <v>0.99960020000000005</v>
      </c>
      <c r="F917">
        <v>0.98665000000000003</v>
      </c>
      <c r="G917">
        <v>1</v>
      </c>
      <c r="H917">
        <v>1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</row>
    <row r="918" spans="2:39">
      <c r="B918" t="s">
        <v>1098</v>
      </c>
      <c r="C918" s="11" t="s">
        <v>2374</v>
      </c>
      <c r="D918" t="s">
        <v>176</v>
      </c>
      <c r="E918">
        <v>0.99936000000000003</v>
      </c>
      <c r="F918">
        <v>0.98956999999999995</v>
      </c>
      <c r="G918">
        <v>1</v>
      </c>
      <c r="H918">
        <v>1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</row>
    <row r="919" spans="2:39">
      <c r="B919" t="s">
        <v>1099</v>
      </c>
      <c r="C919" s="11" t="s">
        <v>2375</v>
      </c>
      <c r="D919" t="s">
        <v>176</v>
      </c>
      <c r="E919">
        <v>0.99846000000000001</v>
      </c>
      <c r="F919">
        <v>0.98960000000000004</v>
      </c>
      <c r="G919">
        <v>1</v>
      </c>
      <c r="H919">
        <v>1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</row>
    <row r="920" spans="2:39">
      <c r="B920" t="s">
        <v>1100</v>
      </c>
      <c r="C920" s="11" t="s">
        <v>2376</v>
      </c>
      <c r="D920" t="s">
        <v>176</v>
      </c>
      <c r="E920">
        <v>0.99904000000000004</v>
      </c>
      <c r="F920">
        <v>0.98672000000000004</v>
      </c>
      <c r="G920">
        <v>1</v>
      </c>
      <c r="H920">
        <v>1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</row>
    <row r="921" spans="2:39" hidden="1">
      <c r="B921" t="s">
        <v>1101</v>
      </c>
      <c r="C921" s="11" t="s">
        <v>2377</v>
      </c>
      <c r="D921" t="s">
        <v>168</v>
      </c>
      <c r="E921">
        <v>1</v>
      </c>
      <c r="F921">
        <v>1.0011500959999999</v>
      </c>
      <c r="G921">
        <v>1</v>
      </c>
      <c r="H921">
        <v>1.0013700759999999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R921">
        <v>594.54999999999995</v>
      </c>
      <c r="S921">
        <v>589.11511269680511</v>
      </c>
      <c r="T921">
        <v>583.6802003498758</v>
      </c>
      <c r="U921">
        <v>578.24526295921191</v>
      </c>
      <c r="V921">
        <v>572.81030052481367</v>
      </c>
      <c r="W921">
        <v>567.37531304668096</v>
      </c>
      <c r="X921">
        <v>561.94030052481367</v>
      </c>
      <c r="Y921">
        <v>556.5052629592119</v>
      </c>
      <c r="Z921">
        <v>551.07020034987579</v>
      </c>
      <c r="AA921">
        <v>545.63511269680521</v>
      </c>
      <c r="AB921">
        <v>540.20000000000005</v>
      </c>
      <c r="AC921">
        <v>1.8099999999999998</v>
      </c>
      <c r="AD921">
        <v>1.8525039992358625</v>
      </c>
      <c r="AE921">
        <v>1.8967754685563696</v>
      </c>
      <c r="AF921">
        <v>1.9429243608560844</v>
      </c>
      <c r="AG921">
        <v>1.9910699034502106</v>
      </c>
      <c r="AH921">
        <v>2.0413415962648083</v>
      </c>
      <c r="AI921">
        <v>2.0938803417665284</v>
      </c>
      <c r="AJ921">
        <v>2.1488397273722102</v>
      </c>
      <c r="AK921">
        <v>2.2063874848962208</v>
      </c>
      <c r="AL921">
        <v>2.2667071562200993</v>
      </c>
      <c r="AM921">
        <v>2.33</v>
      </c>
    </row>
    <row r="922" spans="2:39" hidden="1">
      <c r="B922" t="s">
        <v>1102</v>
      </c>
      <c r="C922" s="11" t="s">
        <v>2378</v>
      </c>
      <c r="D922" t="s">
        <v>168</v>
      </c>
      <c r="E922">
        <v>1</v>
      </c>
      <c r="F922">
        <v>1.0022299379999999</v>
      </c>
      <c r="G922">
        <v>1</v>
      </c>
      <c r="H922">
        <v>1.002972346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R922">
        <v>617.70000000000005</v>
      </c>
      <c r="S922">
        <v>609.94817729783426</v>
      </c>
      <c r="T922">
        <v>602.19675964059434</v>
      </c>
      <c r="U922">
        <v>594.44574702827981</v>
      </c>
      <c r="V922">
        <v>586.69513946089137</v>
      </c>
      <c r="W922">
        <v>578.94493693842844</v>
      </c>
      <c r="X922">
        <v>571.19513946089137</v>
      </c>
      <c r="Y922">
        <v>563.44574702827992</v>
      </c>
      <c r="Z922">
        <v>555.69675964059434</v>
      </c>
      <c r="AA922">
        <v>547.94817729783426</v>
      </c>
      <c r="AB922">
        <v>540.20000000000005</v>
      </c>
      <c r="AC922">
        <v>1.6400000000000001</v>
      </c>
      <c r="AD922">
        <v>1.6919756879096521</v>
      </c>
      <c r="AE922">
        <v>1.746896559506675</v>
      </c>
      <c r="AF922">
        <v>1.8050144176311207</v>
      </c>
      <c r="AG922">
        <v>1.8666104964785888</v>
      </c>
      <c r="AH922">
        <v>1.9319998881243852</v>
      </c>
      <c r="AI922">
        <v>2.001536792642173</v>
      </c>
      <c r="AJ922">
        <v>2.0756207763117929</v>
      </c>
      <c r="AK922">
        <v>2.1547042712053277</v>
      </c>
      <c r="AL922">
        <v>2.239301613249383</v>
      </c>
      <c r="AM922">
        <v>2.33</v>
      </c>
    </row>
    <row r="923" spans="2:39">
      <c r="B923" t="s">
        <v>1103</v>
      </c>
      <c r="C923" s="11" t="s">
        <v>2379</v>
      </c>
      <c r="D923" t="s">
        <v>176</v>
      </c>
      <c r="E923">
        <v>1</v>
      </c>
      <c r="F923">
        <v>1.0189999999999999</v>
      </c>
      <c r="G923">
        <v>1</v>
      </c>
      <c r="H923">
        <v>1.02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</row>
    <row r="924" spans="2:39">
      <c r="B924" t="s">
        <v>1104</v>
      </c>
      <c r="C924" s="11" t="s">
        <v>2380</v>
      </c>
      <c r="D924" t="s">
        <v>176</v>
      </c>
      <c r="E924">
        <v>0.99502000000000002</v>
      </c>
      <c r="F924">
        <v>0.97789999999999999</v>
      </c>
      <c r="G924">
        <v>1</v>
      </c>
      <c r="H924">
        <v>1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</row>
    <row r="925" spans="2:39">
      <c r="B925" t="s">
        <v>1105</v>
      </c>
      <c r="C925" s="11" t="s">
        <v>2381</v>
      </c>
      <c r="D925" t="s">
        <v>176</v>
      </c>
      <c r="E925">
        <v>1.001289961858</v>
      </c>
      <c r="F925">
        <v>1.0041199999999999</v>
      </c>
      <c r="G925">
        <v>1</v>
      </c>
      <c r="H925">
        <v>1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</row>
    <row r="926" spans="2:39">
      <c r="B926" t="s">
        <v>1106</v>
      </c>
      <c r="C926" s="11" t="s">
        <v>2382</v>
      </c>
      <c r="D926" t="s">
        <v>176</v>
      </c>
      <c r="E926">
        <v>0.99904090000000001</v>
      </c>
      <c r="F926">
        <v>0.98599000000000003</v>
      </c>
      <c r="G926">
        <v>1</v>
      </c>
      <c r="H926">
        <v>1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</row>
    <row r="927" spans="2:39">
      <c r="B927" t="s">
        <v>1107</v>
      </c>
      <c r="C927" s="11" t="s">
        <v>2383</v>
      </c>
      <c r="D927" t="s">
        <v>176</v>
      </c>
      <c r="E927">
        <v>0.99929000000000001</v>
      </c>
      <c r="F927">
        <v>0.99104000000000003</v>
      </c>
      <c r="G927">
        <v>1</v>
      </c>
      <c r="H927">
        <v>1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</row>
    <row r="928" spans="2:39">
      <c r="B928" t="s">
        <v>1108</v>
      </c>
      <c r="C928" s="11" t="s">
        <v>2384</v>
      </c>
      <c r="D928" t="s">
        <v>176</v>
      </c>
      <c r="E928">
        <v>0.99628000000000005</v>
      </c>
      <c r="F928">
        <v>1.0016</v>
      </c>
      <c r="G928">
        <v>1</v>
      </c>
      <c r="H928">
        <v>1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</row>
    <row r="929" spans="2:39">
      <c r="B929" t="s">
        <v>1109</v>
      </c>
      <c r="C929" s="11" t="s">
        <v>2385</v>
      </c>
      <c r="D929" t="s">
        <v>176</v>
      </c>
      <c r="E929">
        <v>0.99858999999999998</v>
      </c>
      <c r="F929">
        <v>0.98904999999999998</v>
      </c>
      <c r="G929">
        <v>1</v>
      </c>
      <c r="H929">
        <v>1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</row>
    <row r="930" spans="2:39">
      <c r="B930" t="s">
        <v>1110</v>
      </c>
      <c r="C930" s="11" t="s">
        <v>2386</v>
      </c>
      <c r="D930" t="s">
        <v>176</v>
      </c>
      <c r="E930">
        <v>1.004248</v>
      </c>
      <c r="F930">
        <v>1.00379</v>
      </c>
      <c r="G930">
        <v>1</v>
      </c>
      <c r="H930">
        <v>1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</row>
    <row r="931" spans="2:39" hidden="1">
      <c r="B931" t="s">
        <v>1111</v>
      </c>
      <c r="C931" s="11" t="s">
        <v>2387</v>
      </c>
      <c r="D931" t="s">
        <v>168</v>
      </c>
      <c r="E931">
        <v>1</v>
      </c>
      <c r="F931">
        <v>0.66207246900000005</v>
      </c>
      <c r="G931">
        <v>1</v>
      </c>
      <c r="H931">
        <v>0.59948419100000006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R931">
        <v>568.74</v>
      </c>
      <c r="S931">
        <v>539.447193882531</v>
      </c>
      <c r="T931">
        <v>518.40514468005517</v>
      </c>
      <c r="U931">
        <v>505.61385239257226</v>
      </c>
      <c r="V931">
        <v>501.07331702008264</v>
      </c>
      <c r="W931">
        <v>504.7835385625861</v>
      </c>
      <c r="X931">
        <v>516.74451702008264</v>
      </c>
      <c r="Y931">
        <v>536.95625239257231</v>
      </c>
      <c r="Z931">
        <v>565.41874468005517</v>
      </c>
      <c r="AA931">
        <v>602.13199388253111</v>
      </c>
      <c r="AB931">
        <v>647.096</v>
      </c>
      <c r="AC931">
        <v>2.0310000000000001</v>
      </c>
      <c r="AD931">
        <v>2.3747438694037522</v>
      </c>
      <c r="AE931">
        <v>2.8092459946041131</v>
      </c>
      <c r="AF931">
        <v>3.3672713280127611</v>
      </c>
      <c r="AG931">
        <v>4.0962632890752504</v>
      </c>
      <c r="AH931">
        <v>5.0655198407871049</v>
      </c>
      <c r="AI931">
        <v>6.3758886573268851</v>
      </c>
      <c r="AJ931">
        <v>8.1693830988854792</v>
      </c>
      <c r="AK931">
        <v>10.625270602880196</v>
      </c>
      <c r="AL931">
        <v>13.89625365263041</v>
      </c>
      <c r="AM931">
        <v>17.873727995599999</v>
      </c>
    </row>
    <row r="932" spans="2:39" hidden="1">
      <c r="B932" t="s">
        <v>1112</v>
      </c>
      <c r="C932" s="11" t="s">
        <v>2388</v>
      </c>
      <c r="D932" t="s">
        <v>168</v>
      </c>
      <c r="E932">
        <v>1</v>
      </c>
      <c r="F932">
        <v>1</v>
      </c>
      <c r="G932">
        <v>1</v>
      </c>
      <c r="H932">
        <v>1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R932">
        <v>594.54999999999995</v>
      </c>
      <c r="S932">
        <v>599.70448742690974</v>
      </c>
      <c r="T932">
        <v>604.88122209228413</v>
      </c>
      <c r="U932">
        <v>610.08020399612269</v>
      </c>
      <c r="V932">
        <v>615.30143313842609</v>
      </c>
      <c r="W932">
        <v>620.54490951919388</v>
      </c>
      <c r="X932">
        <v>625.81063313842606</v>
      </c>
      <c r="Y932">
        <v>631.09860399612285</v>
      </c>
      <c r="Z932">
        <v>636.40882209228414</v>
      </c>
      <c r="AA932">
        <v>641.74128742690982</v>
      </c>
      <c r="AB932">
        <v>647.096</v>
      </c>
      <c r="AC932">
        <v>1.8099999999999998</v>
      </c>
      <c r="AD932">
        <v>2.0523439931439622</v>
      </c>
      <c r="AE932">
        <v>2.3503277898973685</v>
      </c>
      <c r="AF932">
        <v>2.7236035559858567</v>
      </c>
      <c r="AG932">
        <v>3.2019268657109108</v>
      </c>
      <c r="AH932">
        <v>3.8324968419546428</v>
      </c>
      <c r="AI932">
        <v>4.694740625641046</v>
      </c>
      <c r="AJ932">
        <v>5.9331205354124981</v>
      </c>
      <c r="AK932">
        <v>7.8400825448222751</v>
      </c>
      <c r="AL932">
        <v>11.108983987048742</v>
      </c>
      <c r="AM932">
        <v>17.873727995599999</v>
      </c>
    </row>
    <row r="933" spans="2:39" hidden="1">
      <c r="B933" t="s">
        <v>1113</v>
      </c>
      <c r="C933" s="11" t="s">
        <v>2389</v>
      </c>
      <c r="D933" t="s">
        <v>168</v>
      </c>
      <c r="E933">
        <v>1.114625565149</v>
      </c>
      <c r="F933">
        <v>0.74041640200000003</v>
      </c>
      <c r="G933">
        <v>1</v>
      </c>
      <c r="H933">
        <v>0.55140531800000003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R933">
        <v>617.70000000000005</v>
      </c>
      <c r="S933">
        <v>598.50374635874152</v>
      </c>
      <c r="T933">
        <v>580.4579501108791</v>
      </c>
      <c r="U933">
        <v>565.19937716999652</v>
      </c>
      <c r="V933">
        <v>554.22012550882016</v>
      </c>
      <c r="W933">
        <v>548.88326297494154</v>
      </c>
      <c r="X933">
        <v>550.43647959596342</v>
      </c>
      <c r="Y933">
        <v>560.02404239278087</v>
      </c>
      <c r="Z933">
        <v>578.69729394046021</v>
      </c>
      <c r="AA933">
        <v>607.42389751432654</v>
      </c>
      <c r="AB933">
        <v>647.096</v>
      </c>
      <c r="AC933">
        <v>1.6400000000000001</v>
      </c>
      <c r="AD933">
        <v>1.9320901528382632</v>
      </c>
      <c r="AE933">
        <v>2.3064309978864235</v>
      </c>
      <c r="AF933">
        <v>2.7952914624184508</v>
      </c>
      <c r="AG933">
        <v>3.4471275121191689</v>
      </c>
      <c r="AH933">
        <v>4.3360096813988056</v>
      </c>
      <c r="AI933">
        <v>5.576156469081015</v>
      </c>
      <c r="AJ933">
        <v>7.3409999903695802</v>
      </c>
      <c r="AK933">
        <v>9.8730842045603424</v>
      </c>
      <c r="AL933">
        <v>13.417821975860534</v>
      </c>
      <c r="AM933">
        <v>17.873727995599999</v>
      </c>
    </row>
    <row r="934" spans="2:39">
      <c r="B934" t="s">
        <v>1114</v>
      </c>
      <c r="C934" s="11" t="s">
        <v>2390</v>
      </c>
      <c r="D934" t="s">
        <v>176</v>
      </c>
      <c r="E934">
        <v>1.006062026742</v>
      </c>
      <c r="F934">
        <v>0.99866370000000004</v>
      </c>
      <c r="G934">
        <v>1.009003234965</v>
      </c>
      <c r="H934">
        <v>1.0661659999999999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</row>
    <row r="935" spans="2:39">
      <c r="B935" t="s">
        <v>1115</v>
      </c>
      <c r="C935" s="11" t="s">
        <v>2391</v>
      </c>
      <c r="D935" t="s">
        <v>176</v>
      </c>
      <c r="E935">
        <v>1.080146899978</v>
      </c>
      <c r="F935">
        <v>0.79079999999999995</v>
      </c>
      <c r="G935">
        <v>1</v>
      </c>
      <c r="H935">
        <v>0.5514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</row>
    <row r="936" spans="2:39">
      <c r="B936" t="s">
        <v>1116</v>
      </c>
      <c r="C936" s="11" t="s">
        <v>2392</v>
      </c>
      <c r="D936" t="s">
        <v>176</v>
      </c>
      <c r="E936">
        <v>0.99910001070999999</v>
      </c>
      <c r="F936">
        <v>0.97445999999999999</v>
      </c>
      <c r="G936">
        <v>1</v>
      </c>
      <c r="H936">
        <v>1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</row>
    <row r="937" spans="2:39">
      <c r="B937" t="s">
        <v>1117</v>
      </c>
      <c r="C937" s="11" t="s">
        <v>2393</v>
      </c>
      <c r="D937" t="s">
        <v>176</v>
      </c>
      <c r="E937">
        <v>1</v>
      </c>
      <c r="F937">
        <v>0.98699999999999999</v>
      </c>
      <c r="G937">
        <v>1</v>
      </c>
      <c r="H937">
        <v>1.006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</row>
    <row r="938" spans="2:39">
      <c r="B938" t="s">
        <v>1118</v>
      </c>
      <c r="C938" s="11" t="s">
        <v>2394</v>
      </c>
      <c r="D938" t="s">
        <v>176</v>
      </c>
      <c r="E938">
        <v>1</v>
      </c>
      <c r="F938">
        <v>1.01</v>
      </c>
      <c r="G938">
        <v>1</v>
      </c>
      <c r="H938">
        <v>1.01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</row>
    <row r="939" spans="2:39">
      <c r="B939" t="s">
        <v>1119</v>
      </c>
      <c r="C939" s="11" t="s">
        <v>2395</v>
      </c>
      <c r="D939" t="s">
        <v>176</v>
      </c>
      <c r="E939">
        <v>1.001039980436</v>
      </c>
      <c r="F939">
        <v>0.99289000000000005</v>
      </c>
      <c r="G939">
        <v>1</v>
      </c>
      <c r="H939">
        <v>1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</row>
    <row r="940" spans="2:39">
      <c r="B940" t="s">
        <v>1120</v>
      </c>
      <c r="C940" s="11" t="s">
        <v>2396</v>
      </c>
      <c r="D940" t="s">
        <v>176</v>
      </c>
      <c r="E940">
        <v>1.001329966461</v>
      </c>
      <c r="F940">
        <v>0.99463000000000001</v>
      </c>
      <c r="G940">
        <v>1</v>
      </c>
      <c r="H940">
        <v>1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</row>
    <row r="941" spans="2:39">
      <c r="B941" t="s">
        <v>1121</v>
      </c>
      <c r="C941" s="11" t="s">
        <v>2397</v>
      </c>
      <c r="D941" t="s">
        <v>176</v>
      </c>
      <c r="E941">
        <v>1.0013200402089999</v>
      </c>
      <c r="F941">
        <v>0.99507999999999996</v>
      </c>
      <c r="G941">
        <v>1</v>
      </c>
      <c r="H941">
        <v>1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</row>
    <row r="942" spans="2:39">
      <c r="B942" t="s">
        <v>1122</v>
      </c>
      <c r="C942" s="11" t="s">
        <v>2398</v>
      </c>
      <c r="D942" t="s">
        <v>176</v>
      </c>
      <c r="E942">
        <v>1</v>
      </c>
      <c r="F942">
        <v>1.02</v>
      </c>
      <c r="G942">
        <v>1</v>
      </c>
      <c r="H942">
        <v>1.02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</row>
    <row r="943" spans="2:39">
      <c r="B943" t="s">
        <v>1123</v>
      </c>
      <c r="C943" s="11" t="s">
        <v>2399</v>
      </c>
      <c r="D943" t="s">
        <v>176</v>
      </c>
      <c r="E943">
        <v>1</v>
      </c>
      <c r="F943">
        <v>1.0349999999999999</v>
      </c>
      <c r="G943">
        <v>1</v>
      </c>
      <c r="H943">
        <v>1.03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</row>
    <row r="944" spans="2:39" hidden="1">
      <c r="B944" t="s">
        <v>1124</v>
      </c>
      <c r="C944" s="11" t="s">
        <v>2400</v>
      </c>
      <c r="D944" t="s">
        <v>168</v>
      </c>
      <c r="E944">
        <v>1</v>
      </c>
      <c r="F944">
        <v>0.996</v>
      </c>
      <c r="G944">
        <v>1</v>
      </c>
      <c r="H944">
        <v>1</v>
      </c>
      <c r="I944">
        <v>-0.70399999999999996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R944">
        <v>568.74</v>
      </c>
      <c r="S944">
        <v>570.6027729847425</v>
      </c>
      <c r="T944">
        <v>572.56292975065321</v>
      </c>
      <c r="U944">
        <v>574.62047029773225</v>
      </c>
      <c r="V944">
        <v>576.77539462597974</v>
      </c>
      <c r="W944">
        <v>579.02770273539556</v>
      </c>
      <c r="X944">
        <v>581.37739462597983</v>
      </c>
      <c r="Y944">
        <v>583.8244702977322</v>
      </c>
      <c r="Z944">
        <v>586.36892975065325</v>
      </c>
      <c r="AA944">
        <v>589.01077298474252</v>
      </c>
      <c r="AB944">
        <v>591.75</v>
      </c>
      <c r="AC944">
        <v>2.0310000000000001</v>
      </c>
      <c r="AD944">
        <v>2.111880928898703</v>
      </c>
      <c r="AE944">
        <v>2.1982078052123524</v>
      </c>
      <c r="AF944">
        <v>2.2905215408541997</v>
      </c>
      <c r="AG944">
        <v>2.3894360860424135</v>
      </c>
      <c r="AH944">
        <v>2.4956511361169027</v>
      </c>
      <c r="AI944">
        <v>2.6099675836518772</v>
      </c>
      <c r="AJ944">
        <v>2.7333064334578494</v>
      </c>
      <c r="AK944">
        <v>2.866732120731299</v>
      </c>
      <c r="AL944">
        <v>3.0114814761372575</v>
      </c>
      <c r="AM944">
        <v>3.169</v>
      </c>
    </row>
    <row r="945" spans="2:39">
      <c r="B945" t="s">
        <v>1125</v>
      </c>
      <c r="C945" s="11" t="s">
        <v>2401</v>
      </c>
      <c r="D945" t="s">
        <v>176</v>
      </c>
      <c r="E945">
        <v>0.99712829999999997</v>
      </c>
      <c r="F945">
        <v>1.0025200000000001</v>
      </c>
      <c r="G945">
        <v>1</v>
      </c>
      <c r="H945">
        <v>1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</row>
    <row r="946" spans="2:39">
      <c r="B946" t="s">
        <v>1126</v>
      </c>
      <c r="C946" s="11" t="s">
        <v>2402</v>
      </c>
      <c r="D946" t="s">
        <v>176</v>
      </c>
      <c r="E946">
        <v>1.0008507</v>
      </c>
      <c r="F946">
        <v>0.99999000000000005</v>
      </c>
      <c r="G946">
        <v>1</v>
      </c>
      <c r="H946">
        <v>1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</row>
    <row r="947" spans="2:39">
      <c r="B947" t="s">
        <v>1127</v>
      </c>
      <c r="C947" s="11" t="s">
        <v>2403</v>
      </c>
      <c r="D947" t="s">
        <v>176</v>
      </c>
      <c r="E947">
        <v>1.0035122999999999</v>
      </c>
      <c r="F947">
        <v>0.99600999999999995</v>
      </c>
      <c r="G947">
        <v>1</v>
      </c>
      <c r="H947">
        <v>1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</row>
    <row r="948" spans="2:39">
      <c r="B948" t="s">
        <v>1128</v>
      </c>
      <c r="C948" s="11" t="s">
        <v>2404</v>
      </c>
      <c r="D948" t="s">
        <v>176</v>
      </c>
      <c r="E948">
        <v>1.0017430000000001</v>
      </c>
      <c r="F948">
        <v>1.0020899999999999</v>
      </c>
      <c r="G948">
        <v>1</v>
      </c>
      <c r="H948">
        <v>1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</row>
    <row r="949" spans="2:39" hidden="1">
      <c r="B949" t="s">
        <v>1129</v>
      </c>
      <c r="C949" s="11" t="s">
        <v>2405</v>
      </c>
      <c r="D949" t="s">
        <v>168</v>
      </c>
      <c r="E949">
        <v>1</v>
      </c>
      <c r="F949">
        <v>1</v>
      </c>
      <c r="G949">
        <v>1</v>
      </c>
      <c r="H949">
        <v>1</v>
      </c>
      <c r="I949">
        <v>-1.06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R949">
        <v>594.54999999999995</v>
      </c>
      <c r="S949">
        <v>594.26970260432324</v>
      </c>
      <c r="T949">
        <v>593.98947129657472</v>
      </c>
      <c r="U949">
        <v>593.70930607675405</v>
      </c>
      <c r="V949">
        <v>593.42920694486202</v>
      </c>
      <c r="W949">
        <v>593.14917390089784</v>
      </c>
      <c r="X949">
        <v>592.86920694486196</v>
      </c>
      <c r="Y949">
        <v>592.58930607675416</v>
      </c>
      <c r="Z949">
        <v>592.30947129657466</v>
      </c>
      <c r="AA949">
        <v>592.02970260432323</v>
      </c>
      <c r="AB949">
        <v>591.75</v>
      </c>
      <c r="AC949">
        <v>1.8099999999999998</v>
      </c>
      <c r="AD949">
        <v>1.8982023717593564</v>
      </c>
      <c r="AE949">
        <v>1.9936918070398408</v>
      </c>
      <c r="AF949">
        <v>2.0973609850439274</v>
      </c>
      <c r="AG949">
        <v>2.2102522802302844</v>
      </c>
      <c r="AH949">
        <v>2.3335903678931715</v>
      </c>
      <c r="AI949">
        <v>2.4688237288581134</v>
      </c>
      <c r="AJ949">
        <v>2.6176780209503381</v>
      </c>
      <c r="AK949">
        <v>2.7822254723813269</v>
      </c>
      <c r="AL949">
        <v>2.9649762023809347</v>
      </c>
      <c r="AM949">
        <v>3.169</v>
      </c>
    </row>
    <row r="950" spans="2:39" hidden="1">
      <c r="B950" t="s">
        <v>1130</v>
      </c>
      <c r="C950" s="11" t="s">
        <v>2406</v>
      </c>
      <c r="D950" t="s">
        <v>168</v>
      </c>
      <c r="E950">
        <v>1</v>
      </c>
      <c r="F950">
        <v>1.026</v>
      </c>
      <c r="G950">
        <v>1</v>
      </c>
      <c r="H950">
        <v>1</v>
      </c>
      <c r="I950">
        <v>-1.395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R950">
        <v>617.70000000000005</v>
      </c>
      <c r="S950">
        <v>617.90940331996194</v>
      </c>
      <c r="T950">
        <v>617.49560590215469</v>
      </c>
      <c r="U950">
        <v>616.45860774657785</v>
      </c>
      <c r="V950">
        <v>614.79840885323176</v>
      </c>
      <c r="W950">
        <v>612.51500922211642</v>
      </c>
      <c r="X950">
        <v>609.60840885323182</v>
      </c>
      <c r="Y950">
        <v>606.07860774657775</v>
      </c>
      <c r="Z950">
        <v>601.92560590215453</v>
      </c>
      <c r="AA950">
        <v>597.14940331996195</v>
      </c>
      <c r="AB950">
        <v>591.75</v>
      </c>
      <c r="AC950">
        <v>1.6400000000000001</v>
      </c>
      <c r="AD950">
        <v>1.731744534177974</v>
      </c>
      <c r="AE950">
        <v>1.8322081887067507</v>
      </c>
      <c r="AF950">
        <v>1.9426246703950707</v>
      </c>
      <c r="AG950">
        <v>2.0644679905929801</v>
      </c>
      <c r="AH950">
        <v>2.1995136722333859</v>
      </c>
      <c r="AI950">
        <v>2.3499196411891714</v>
      </c>
      <c r="AJ950">
        <v>2.5183346027723448</v>
      </c>
      <c r="AK950">
        <v>2.7080454489021797</v>
      </c>
      <c r="AL950">
        <v>2.9231811375068464</v>
      </c>
      <c r="AM950">
        <v>3.169</v>
      </c>
    </row>
    <row r="951" spans="2:39">
      <c r="B951" t="s">
        <v>1131</v>
      </c>
      <c r="C951" s="11" t="s">
        <v>2407</v>
      </c>
      <c r="D951" t="s">
        <v>176</v>
      </c>
      <c r="E951">
        <v>1.0049443260840001</v>
      </c>
      <c r="F951">
        <v>1.0172699999999999</v>
      </c>
      <c r="G951">
        <v>1</v>
      </c>
      <c r="H951">
        <v>1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</row>
    <row r="952" spans="2:39">
      <c r="B952" t="s">
        <v>1132</v>
      </c>
      <c r="C952" s="11" t="s">
        <v>2408</v>
      </c>
      <c r="D952" t="s">
        <v>176</v>
      </c>
      <c r="E952">
        <v>0.99922060000000001</v>
      </c>
      <c r="F952">
        <v>0.98584000000000005</v>
      </c>
      <c r="G952">
        <v>1</v>
      </c>
      <c r="H952">
        <v>1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</row>
    <row r="953" spans="2:39">
      <c r="B953" t="s">
        <v>1133</v>
      </c>
      <c r="C953" s="11" t="s">
        <v>2409</v>
      </c>
      <c r="D953" t="s">
        <v>176</v>
      </c>
      <c r="E953">
        <v>0.99787999999999999</v>
      </c>
      <c r="F953">
        <v>0.98651</v>
      </c>
      <c r="G953">
        <v>1</v>
      </c>
      <c r="H953">
        <v>1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</row>
    <row r="954" spans="2:39">
      <c r="B954" t="s">
        <v>1134</v>
      </c>
      <c r="C954" s="11" t="s">
        <v>2410</v>
      </c>
      <c r="D954" t="s">
        <v>176</v>
      </c>
      <c r="E954">
        <v>0.99969010000000003</v>
      </c>
      <c r="F954">
        <v>0.99295999999999995</v>
      </c>
      <c r="G954">
        <v>1</v>
      </c>
      <c r="H954">
        <v>1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</row>
    <row r="955" spans="2:39">
      <c r="B955" t="s">
        <v>1135</v>
      </c>
      <c r="C955" s="11" t="s">
        <v>2411</v>
      </c>
      <c r="D955" t="s">
        <v>176</v>
      </c>
      <c r="E955">
        <v>0.99933000000000005</v>
      </c>
      <c r="F955">
        <v>0.99245000000000005</v>
      </c>
      <c r="G955">
        <v>1</v>
      </c>
      <c r="H955">
        <v>1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</row>
    <row r="956" spans="2:39" hidden="1">
      <c r="B956" t="s">
        <v>1136</v>
      </c>
      <c r="C956" s="11" t="s">
        <v>2412</v>
      </c>
      <c r="D956" t="s">
        <v>168</v>
      </c>
      <c r="E956">
        <v>1</v>
      </c>
      <c r="F956">
        <v>1.0002350440000001</v>
      </c>
      <c r="G956">
        <v>1</v>
      </c>
      <c r="H956">
        <v>1.001357085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R956">
        <v>594.54999999999995</v>
      </c>
      <c r="S956">
        <v>591.96782978460237</v>
      </c>
      <c r="T956">
        <v>589.38591961707095</v>
      </c>
      <c r="U956">
        <v>586.80426949740547</v>
      </c>
      <c r="V956">
        <v>584.22287942560638</v>
      </c>
      <c r="W956">
        <v>581.64174940167322</v>
      </c>
      <c r="X956">
        <v>579.06087942560634</v>
      </c>
      <c r="Y956">
        <v>576.48026949740552</v>
      </c>
      <c r="Z956">
        <v>573.89991961707085</v>
      </c>
      <c r="AA956">
        <v>571.31982978460235</v>
      </c>
      <c r="AB956">
        <v>568.74</v>
      </c>
      <c r="AC956">
        <v>1.8099999999999998</v>
      </c>
      <c r="AD956">
        <v>1.8298328167402886</v>
      </c>
      <c r="AE956">
        <v>1.8501230423740587</v>
      </c>
      <c r="AF956">
        <v>1.8708866613411184</v>
      </c>
      <c r="AG956">
        <v>1.8921404116824143</v>
      </c>
      <c r="AH956">
        <v>1.9139018299811628</v>
      </c>
      <c r="AI956">
        <v>1.9361892995588976</v>
      </c>
      <c r="AJ956">
        <v>1.9590221022048051</v>
      </c>
      <c r="AK956">
        <v>1.982420473744307</v>
      </c>
      <c r="AL956">
        <v>2.0064056637834713</v>
      </c>
      <c r="AM956">
        <v>2.0310000000000001</v>
      </c>
    </row>
    <row r="957" spans="2:39" hidden="1">
      <c r="B957" t="s">
        <v>1137</v>
      </c>
      <c r="C957" s="11" t="s">
        <v>2413</v>
      </c>
      <c r="D957" t="s">
        <v>168</v>
      </c>
      <c r="E957">
        <v>1</v>
      </c>
      <c r="F957">
        <v>1.007186267</v>
      </c>
      <c r="G957">
        <v>1</v>
      </c>
      <c r="H957">
        <v>1.002553544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R957">
        <v>617.70000000000005</v>
      </c>
      <c r="S957">
        <v>613.47973640496821</v>
      </c>
      <c r="T957">
        <v>609.10930916438792</v>
      </c>
      <c r="U957">
        <v>604.58871827825908</v>
      </c>
      <c r="V957">
        <v>599.91796374658179</v>
      </c>
      <c r="W957">
        <v>595.09704556935606</v>
      </c>
      <c r="X957">
        <v>590.12596374658176</v>
      </c>
      <c r="Y957">
        <v>585.00471827825913</v>
      </c>
      <c r="Z957">
        <v>579.73330916438795</v>
      </c>
      <c r="AA957">
        <v>574.3117364049682</v>
      </c>
      <c r="AB957">
        <v>568.74</v>
      </c>
      <c r="AC957">
        <v>1.6400000000000001</v>
      </c>
      <c r="AD957">
        <v>1.6725388257639351</v>
      </c>
      <c r="AE957">
        <v>1.7063148281375324</v>
      </c>
      <c r="AF957">
        <v>1.7413996433388665</v>
      </c>
      <c r="AG957">
        <v>1.7778705455393975</v>
      </c>
      <c r="AH957">
        <v>1.8158110126381217</v>
      </c>
      <c r="AI957">
        <v>1.855311361562245</v>
      </c>
      <c r="AJ957">
        <v>1.8964694632707266</v>
      </c>
      <c r="AK957">
        <v>1.9393915493756613</v>
      </c>
      <c r="AL957">
        <v>1.9841931243765205</v>
      </c>
      <c r="AM957">
        <v>2.0310000000000001</v>
      </c>
    </row>
    <row r="958" spans="2:39">
      <c r="B958" t="s">
        <v>1138</v>
      </c>
      <c r="C958" s="11" t="s">
        <v>2414</v>
      </c>
      <c r="D958" t="s">
        <v>176</v>
      </c>
      <c r="E958">
        <v>0.99883999999999995</v>
      </c>
      <c r="F958">
        <v>1.0249999999999999</v>
      </c>
      <c r="G958">
        <v>1</v>
      </c>
      <c r="H958">
        <v>1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</row>
    <row r="959" spans="2:39">
      <c r="B959" t="s">
        <v>1139</v>
      </c>
      <c r="C959" s="11" t="s">
        <v>2415</v>
      </c>
      <c r="D959" t="s">
        <v>176</v>
      </c>
      <c r="E959">
        <v>0.99947997057100002</v>
      </c>
      <c r="F959">
        <v>0.99904999999999999</v>
      </c>
      <c r="G959">
        <v>1</v>
      </c>
      <c r="H959">
        <v>1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</row>
    <row r="960" spans="2:39">
      <c r="B960" t="s">
        <v>1140</v>
      </c>
      <c r="C960" s="11" t="s">
        <v>2416</v>
      </c>
      <c r="D960" t="s">
        <v>176</v>
      </c>
      <c r="E960">
        <v>1.0001200144019999</v>
      </c>
      <c r="F960">
        <v>0.99939</v>
      </c>
      <c r="G960">
        <v>1</v>
      </c>
      <c r="H960">
        <v>1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</row>
    <row r="961" spans="2:39">
      <c r="B961" t="s">
        <v>1141</v>
      </c>
      <c r="C961" s="11" t="s">
        <v>2417</v>
      </c>
      <c r="D961" t="s">
        <v>176</v>
      </c>
      <c r="E961">
        <v>1.0015300374380001</v>
      </c>
      <c r="F961">
        <v>0.99924000000000002</v>
      </c>
      <c r="G961">
        <v>1</v>
      </c>
      <c r="H961">
        <v>1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</row>
    <row r="962" spans="2:39">
      <c r="B962" t="s">
        <v>1142</v>
      </c>
      <c r="C962" s="11" t="s">
        <v>2418</v>
      </c>
      <c r="D962" t="s">
        <v>176</v>
      </c>
      <c r="E962">
        <v>1.0037500100379999</v>
      </c>
      <c r="F962">
        <v>0.98563999999999996</v>
      </c>
      <c r="G962">
        <v>1</v>
      </c>
      <c r="H962">
        <v>1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</row>
    <row r="963" spans="2:39">
      <c r="B963" t="s">
        <v>1143</v>
      </c>
      <c r="C963" s="11" t="s">
        <v>2419</v>
      </c>
      <c r="D963" t="s">
        <v>176</v>
      </c>
      <c r="E963">
        <v>0.99939037187299995</v>
      </c>
      <c r="F963">
        <v>0.99387000000000003</v>
      </c>
      <c r="G963">
        <v>1</v>
      </c>
      <c r="H963">
        <v>1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</row>
    <row r="964" spans="2:39">
      <c r="B964" t="s">
        <v>1144</v>
      </c>
      <c r="C964" s="11" t="s">
        <v>2420</v>
      </c>
      <c r="D964" t="s">
        <v>176</v>
      </c>
      <c r="E964">
        <v>1.0010110211309999</v>
      </c>
      <c r="F964">
        <v>0.99261999999999995</v>
      </c>
      <c r="G964">
        <v>1</v>
      </c>
      <c r="H964">
        <v>1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</row>
    <row r="965" spans="2:39">
      <c r="B965" t="s">
        <v>1145</v>
      </c>
      <c r="C965" s="11" t="s">
        <v>2421</v>
      </c>
      <c r="D965" t="s">
        <v>176</v>
      </c>
      <c r="E965">
        <v>1.000190036107</v>
      </c>
      <c r="F965">
        <v>1.0018</v>
      </c>
      <c r="G965">
        <v>1</v>
      </c>
      <c r="H965">
        <v>1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</row>
    <row r="966" spans="2:39">
      <c r="B966" t="s">
        <v>1146</v>
      </c>
      <c r="C966" s="11" t="s">
        <v>2422</v>
      </c>
      <c r="D966" t="s">
        <v>176</v>
      </c>
      <c r="E966">
        <v>1.0007299999999999</v>
      </c>
      <c r="F966">
        <v>0.99997000000000003</v>
      </c>
      <c r="G966">
        <v>1</v>
      </c>
      <c r="H966">
        <v>1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</row>
    <row r="967" spans="2:39">
      <c r="B967" t="s">
        <v>1147</v>
      </c>
      <c r="C967" s="11" t="s">
        <v>2423</v>
      </c>
      <c r="D967" t="s">
        <v>176</v>
      </c>
      <c r="E967">
        <v>1.002270041417</v>
      </c>
      <c r="F967">
        <v>0.98031000000000001</v>
      </c>
      <c r="G967">
        <v>1</v>
      </c>
      <c r="H967">
        <v>1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</row>
    <row r="968" spans="2:39">
      <c r="B968" t="s">
        <v>1148</v>
      </c>
      <c r="C968" s="11" t="s">
        <v>2424</v>
      </c>
      <c r="D968" t="s">
        <v>176</v>
      </c>
      <c r="E968">
        <v>0.99965012245700002</v>
      </c>
      <c r="F968">
        <v>0.99368999999999996</v>
      </c>
      <c r="G968">
        <v>1</v>
      </c>
      <c r="H968">
        <v>1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</row>
    <row r="969" spans="2:39">
      <c r="B969" t="s">
        <v>1149</v>
      </c>
      <c r="C969" s="11" t="s">
        <v>2425</v>
      </c>
      <c r="D969" t="s">
        <v>176</v>
      </c>
      <c r="E969">
        <v>0.99910080927199996</v>
      </c>
      <c r="F969">
        <v>1.0019800000000001</v>
      </c>
      <c r="G969">
        <v>1</v>
      </c>
      <c r="H969">
        <v>1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</row>
    <row r="970" spans="2:39">
      <c r="B970" t="s">
        <v>1150</v>
      </c>
      <c r="C970" s="11" t="s">
        <v>2426</v>
      </c>
      <c r="D970" t="s">
        <v>176</v>
      </c>
      <c r="E970">
        <v>1.0029084344600001</v>
      </c>
      <c r="F970">
        <v>0.98501000000000005</v>
      </c>
      <c r="G970">
        <v>1</v>
      </c>
      <c r="H970">
        <v>1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</row>
    <row r="971" spans="2:39">
      <c r="B971" t="s">
        <v>1151</v>
      </c>
      <c r="C971" s="11" t="s">
        <v>2427</v>
      </c>
      <c r="D971" t="s">
        <v>176</v>
      </c>
      <c r="E971">
        <v>1.0013518249640001</v>
      </c>
      <c r="F971">
        <v>0.99470999999999998</v>
      </c>
      <c r="G971">
        <v>1</v>
      </c>
      <c r="H971">
        <v>1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</row>
    <row r="972" spans="2:39">
      <c r="B972" t="s">
        <v>1152</v>
      </c>
      <c r="C972" s="11" t="s">
        <v>2428</v>
      </c>
      <c r="D972" t="s">
        <v>176</v>
      </c>
      <c r="E972">
        <v>1.0019036168719999</v>
      </c>
      <c r="F972">
        <v>0.99824999999999997</v>
      </c>
      <c r="G972">
        <v>1</v>
      </c>
      <c r="H972">
        <v>1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</row>
    <row r="973" spans="2:39" hidden="1">
      <c r="B973" t="s">
        <v>1153</v>
      </c>
      <c r="C973" s="11" t="s">
        <v>2429</v>
      </c>
      <c r="D973" t="s">
        <v>168</v>
      </c>
      <c r="E973">
        <v>1</v>
      </c>
      <c r="F973">
        <v>1.0001823919999999</v>
      </c>
      <c r="G973">
        <v>1</v>
      </c>
      <c r="H973">
        <v>1.0008105199999999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R973">
        <v>617.70000000000005</v>
      </c>
      <c r="S973">
        <v>615.38499997117583</v>
      </c>
      <c r="T973">
        <v>613.06999994875696</v>
      </c>
      <c r="U973">
        <v>610.75499993274343</v>
      </c>
      <c r="V973">
        <v>608.43999992313525</v>
      </c>
      <c r="W973">
        <v>606.12499991993263</v>
      </c>
      <c r="X973">
        <v>603.80999992313525</v>
      </c>
      <c r="Y973">
        <v>601.49499993274333</v>
      </c>
      <c r="Z973">
        <v>599.17999994875686</v>
      </c>
      <c r="AA973">
        <v>596.86499997117573</v>
      </c>
      <c r="AB973">
        <v>594.54999999999995</v>
      </c>
      <c r="AC973">
        <v>1.6400000000000001</v>
      </c>
      <c r="AD973">
        <v>1.6555493587057393</v>
      </c>
      <c r="AE973">
        <v>1.6713963965574736</v>
      </c>
      <c r="AF973">
        <v>1.687549744388346</v>
      </c>
      <c r="AG973">
        <v>1.7040183699411517</v>
      </c>
      <c r="AH973">
        <v>1.7208115944696847</v>
      </c>
      <c r="AI973">
        <v>1.7379391103314958</v>
      </c>
      <c r="AJ973">
        <v>1.7554109996418361</v>
      </c>
      <c r="AK973">
        <v>1.7732377540642204</v>
      </c>
      <c r="AL973">
        <v>1.7914302958192356</v>
      </c>
      <c r="AM973">
        <v>1.8099999999999998</v>
      </c>
    </row>
    <row r="974" spans="2:39" hidden="1">
      <c r="B974" t="s">
        <v>1154</v>
      </c>
      <c r="C974" s="11" t="s">
        <v>2430</v>
      </c>
      <c r="D974" t="s">
        <v>168</v>
      </c>
      <c r="E974">
        <v>0.999</v>
      </c>
      <c r="F974">
        <v>1.01</v>
      </c>
      <c r="G974">
        <v>1</v>
      </c>
      <c r="H974">
        <v>1.0049999999999999</v>
      </c>
      <c r="I974">
        <v>0.15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R974">
        <v>658.1</v>
      </c>
      <c r="S974">
        <v>652.63475268552224</v>
      </c>
      <c r="T974">
        <v>647.01217965873479</v>
      </c>
      <c r="U974">
        <v>641.21715321522379</v>
      </c>
      <c r="V974">
        <v>635.23453354478306</v>
      </c>
      <c r="W974">
        <v>629.04916871930232</v>
      </c>
      <c r="X974">
        <v>622.64589468064059</v>
      </c>
      <c r="Y974">
        <v>616.0095352284859</v>
      </c>
      <c r="Z974">
        <v>609.12490200819866</v>
      </c>
      <c r="AA974">
        <v>601.97679449864268</v>
      </c>
      <c r="AB974">
        <v>594.54999999999995</v>
      </c>
      <c r="AC974">
        <v>1.33</v>
      </c>
      <c r="AD974">
        <v>1.366862116237884</v>
      </c>
      <c r="AE974">
        <v>1.4056775312096657</v>
      </c>
      <c r="AF974">
        <v>1.4466048563056209</v>
      </c>
      <c r="AG974">
        <v>1.4898203460289314</v>
      </c>
      <c r="AH974">
        <v>1.5355204212491473</v>
      </c>
      <c r="AI974">
        <v>1.5839246382454917</v>
      </c>
      <c r="AJ974">
        <v>1.6352791982130281</v>
      </c>
      <c r="AK974">
        <v>1.6898611156017624</v>
      </c>
      <c r="AL974">
        <v>1.7479831942442119</v>
      </c>
      <c r="AM974">
        <v>1.8099999999999998</v>
      </c>
    </row>
    <row r="975" spans="2:39">
      <c r="B975" t="s">
        <v>1155</v>
      </c>
      <c r="C975" s="11" t="s">
        <v>2431</v>
      </c>
      <c r="D975" t="s">
        <v>176</v>
      </c>
      <c r="E975">
        <v>0.99826300000000001</v>
      </c>
      <c r="F975">
        <v>0.99968999999999997</v>
      </c>
      <c r="G975">
        <v>1</v>
      </c>
      <c r="H975">
        <v>1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</row>
    <row r="976" spans="2:39" hidden="1">
      <c r="B976" t="s">
        <v>1156</v>
      </c>
      <c r="C976" s="11" t="s">
        <v>2432</v>
      </c>
      <c r="D976" t="s">
        <v>168</v>
      </c>
      <c r="E976">
        <v>1</v>
      </c>
      <c r="F976">
        <v>0.998</v>
      </c>
      <c r="G976">
        <v>1</v>
      </c>
      <c r="H976">
        <v>1.0049999999999999</v>
      </c>
      <c r="I976">
        <v>0.35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R976">
        <v>658.1</v>
      </c>
      <c r="S976">
        <v>653.77288720356239</v>
      </c>
      <c r="T976">
        <v>649.50957725077774</v>
      </c>
      <c r="U976">
        <v>645.3100701416455</v>
      </c>
      <c r="V976">
        <v>641.17436587616635</v>
      </c>
      <c r="W976">
        <v>637.10246445433995</v>
      </c>
      <c r="X976">
        <v>633.09436587616631</v>
      </c>
      <c r="Y976">
        <v>629.15007014164553</v>
      </c>
      <c r="Z976">
        <v>625.26957725077762</v>
      </c>
      <c r="AA976">
        <v>621.45288720356234</v>
      </c>
      <c r="AB976">
        <v>617.70000000000005</v>
      </c>
      <c r="AC976">
        <v>1.33</v>
      </c>
      <c r="AD976">
        <v>1.3553229124782298</v>
      </c>
      <c r="AE976">
        <v>1.3816984867264501</v>
      </c>
      <c r="AF976">
        <v>1.4091934712613601</v>
      </c>
      <c r="AG976">
        <v>1.4378803811820651</v>
      </c>
      <c r="AH976">
        <v>1.4678381346459846</v>
      </c>
      <c r="AI976">
        <v>1.4991527755475409</v>
      </c>
      <c r="AJ976">
        <v>1.5319182963351565</v>
      </c>
      <c r="AK976">
        <v>1.5662375775375745</v>
      </c>
      <c r="AL976">
        <v>1.6022234637803536</v>
      </c>
      <c r="AM976">
        <v>1.6400000000000001</v>
      </c>
    </row>
    <row r="977" spans="2:16">
      <c r="B977" t="s">
        <v>1157</v>
      </c>
      <c r="C977" s="11" t="s">
        <v>2433</v>
      </c>
      <c r="D977" t="s">
        <v>176</v>
      </c>
      <c r="E977">
        <v>1</v>
      </c>
      <c r="F977">
        <v>1</v>
      </c>
      <c r="G977">
        <v>1</v>
      </c>
      <c r="H977">
        <v>1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</row>
    <row r="978" spans="2:16">
      <c r="B978" t="s">
        <v>1158</v>
      </c>
      <c r="C978" s="11" t="s">
        <v>2434</v>
      </c>
      <c r="D978" t="s">
        <v>176</v>
      </c>
      <c r="E978">
        <v>1</v>
      </c>
      <c r="F978">
        <v>1</v>
      </c>
      <c r="G978">
        <v>1</v>
      </c>
      <c r="H978">
        <v>1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</row>
    <row r="979" spans="2:16">
      <c r="B979" t="s">
        <v>1159</v>
      </c>
      <c r="C979" s="11" t="s">
        <v>2435</v>
      </c>
      <c r="D979" t="s">
        <v>176</v>
      </c>
      <c r="E979">
        <v>1</v>
      </c>
      <c r="F979">
        <v>1</v>
      </c>
      <c r="G979">
        <v>1</v>
      </c>
      <c r="H979">
        <v>1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</row>
    <row r="980" spans="2:16">
      <c r="B980" t="s">
        <v>1160</v>
      </c>
      <c r="C980" s="11" t="s">
        <v>2436</v>
      </c>
      <c r="D980" t="s">
        <v>176</v>
      </c>
      <c r="E980">
        <v>1</v>
      </c>
      <c r="F980">
        <v>1</v>
      </c>
      <c r="G980">
        <v>1</v>
      </c>
      <c r="H980">
        <v>1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</row>
    <row r="981" spans="2:16">
      <c r="B981" t="s">
        <v>1161</v>
      </c>
      <c r="C981" s="11" t="s">
        <v>2437</v>
      </c>
      <c r="D981" t="s">
        <v>176</v>
      </c>
      <c r="E981">
        <v>1</v>
      </c>
      <c r="F981">
        <v>1</v>
      </c>
      <c r="G981">
        <v>1</v>
      </c>
      <c r="H981">
        <v>1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</row>
    <row r="982" spans="2:16">
      <c r="B982" t="s">
        <v>1162</v>
      </c>
      <c r="C982" s="11" t="s">
        <v>2438</v>
      </c>
      <c r="D982" t="s">
        <v>176</v>
      </c>
      <c r="E982">
        <v>1</v>
      </c>
      <c r="F982">
        <v>1</v>
      </c>
      <c r="G982">
        <v>1</v>
      </c>
      <c r="H982">
        <v>1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</row>
    <row r="983" spans="2:16">
      <c r="B983" t="s">
        <v>1163</v>
      </c>
      <c r="C983" s="11" t="s">
        <v>2439</v>
      </c>
      <c r="D983" t="s">
        <v>176</v>
      </c>
      <c r="E983">
        <v>1</v>
      </c>
      <c r="F983">
        <v>1</v>
      </c>
      <c r="G983">
        <v>1</v>
      </c>
      <c r="H983">
        <v>1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</row>
    <row r="984" spans="2:16">
      <c r="B984" t="s">
        <v>1164</v>
      </c>
      <c r="C984" s="11" t="s">
        <v>2440</v>
      </c>
      <c r="D984" t="s">
        <v>176</v>
      </c>
      <c r="E984">
        <v>1</v>
      </c>
      <c r="F984">
        <v>1</v>
      </c>
      <c r="G984">
        <v>1</v>
      </c>
      <c r="H984">
        <v>1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</row>
    <row r="985" spans="2:16">
      <c r="B985" t="s">
        <v>1165</v>
      </c>
      <c r="C985" s="11" t="s">
        <v>2441</v>
      </c>
      <c r="D985" t="s">
        <v>176</v>
      </c>
      <c r="E985">
        <v>1</v>
      </c>
      <c r="F985">
        <v>1</v>
      </c>
      <c r="G985">
        <v>1</v>
      </c>
      <c r="H985">
        <v>1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</row>
    <row r="986" spans="2:16">
      <c r="B986" t="s">
        <v>1166</v>
      </c>
      <c r="C986" s="11" t="s">
        <v>2442</v>
      </c>
      <c r="D986" t="s">
        <v>176</v>
      </c>
      <c r="E986">
        <v>1</v>
      </c>
      <c r="F986">
        <v>1</v>
      </c>
      <c r="G986">
        <v>1</v>
      </c>
      <c r="H986">
        <v>1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</row>
    <row r="987" spans="2:16" hidden="1">
      <c r="B987" t="s">
        <v>1167</v>
      </c>
      <c r="C987" s="11" t="s">
        <v>2443</v>
      </c>
      <c r="D987" t="s">
        <v>179</v>
      </c>
      <c r="E987">
        <v>1.0196000000000001</v>
      </c>
      <c r="F987">
        <v>0.9385</v>
      </c>
      <c r="G987">
        <v>1.0065</v>
      </c>
      <c r="H987">
        <v>1.2113</v>
      </c>
      <c r="I987">
        <v>8.59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</row>
    <row r="988" spans="2:16">
      <c r="B988" t="s">
        <v>1168</v>
      </c>
      <c r="C988" s="11" t="s">
        <v>2444</v>
      </c>
      <c r="D988" t="s">
        <v>176</v>
      </c>
      <c r="E988">
        <v>1.014</v>
      </c>
      <c r="F988">
        <v>1.0529999999999999</v>
      </c>
      <c r="G988">
        <v>1</v>
      </c>
      <c r="H988">
        <v>1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</row>
    <row r="989" spans="2:16">
      <c r="B989" t="s">
        <v>1169</v>
      </c>
      <c r="C989" s="11" t="s">
        <v>2445</v>
      </c>
      <c r="D989" t="s">
        <v>176</v>
      </c>
      <c r="E989">
        <v>1</v>
      </c>
      <c r="F989">
        <v>1.0489999999999999</v>
      </c>
      <c r="G989">
        <v>1</v>
      </c>
      <c r="H989">
        <v>1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</row>
    <row r="990" spans="2:16">
      <c r="B990" t="s">
        <v>1170</v>
      </c>
      <c r="C990" s="11" t="s">
        <v>2446</v>
      </c>
      <c r="D990" t="s">
        <v>176</v>
      </c>
      <c r="E990">
        <v>1</v>
      </c>
      <c r="F990">
        <v>0.96950000000000003</v>
      </c>
      <c r="G990">
        <v>1</v>
      </c>
      <c r="H990">
        <v>1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</row>
  </sheetData>
  <autoFilter ref="D1:D990" xr:uid="{16AD2411-17B7-4B6E-ABF9-D59DA1056C90}">
    <filterColumn colId="0">
      <filters>
        <filter val="Model"/>
        <filter val="XR0"/>
      </filters>
    </filterColumn>
  </autoFilter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BC4B4-92A0-4799-AA80-27900F75BA64}">
  <sheetPr codeName="Sheet3"/>
  <dimension ref="A1:AB36"/>
  <sheetViews>
    <sheetView tabSelected="1" topLeftCell="Q1" zoomScale="99" zoomScaleNormal="130" workbookViewId="0">
      <selection activeCell="AB47" sqref="AB47"/>
    </sheetView>
  </sheetViews>
  <sheetFormatPr baseColWidth="10" defaultColWidth="8.6640625" defaultRowHeight="14"/>
  <cols>
    <col min="1" max="1" width="8.6640625" style="1"/>
    <col min="2" max="2" width="18.5" style="1" customWidth="1"/>
    <col min="3" max="16384" width="8.6640625" style="1"/>
  </cols>
  <sheetData>
    <row r="1" spans="1:28">
      <c r="C1" s="1" t="s">
        <v>2</v>
      </c>
      <c r="D1" s="1" t="s">
        <v>3</v>
      </c>
      <c r="F1" s="1" t="s">
        <v>6</v>
      </c>
      <c r="G1" s="1" t="s">
        <v>7</v>
      </c>
      <c r="H1" s="1" t="s">
        <v>8</v>
      </c>
      <c r="I1" s="1" t="s">
        <v>9</v>
      </c>
    </row>
    <row r="2" spans="1:28">
      <c r="A2" s="1" t="s">
        <v>4</v>
      </c>
      <c r="B2" s="1" t="s">
        <v>2448</v>
      </c>
      <c r="C2" s="2">
        <v>150.68700000000001</v>
      </c>
      <c r="D2" s="1">
        <v>13.407429649999999</v>
      </c>
      <c r="F2" s="1">
        <v>1</v>
      </c>
      <c r="G2" s="1">
        <v>1.3194699999999999</v>
      </c>
      <c r="H2" s="1">
        <v>1</v>
      </c>
      <c r="I2" s="1">
        <v>1</v>
      </c>
    </row>
    <row r="3" spans="1:28">
      <c r="A3" s="1" t="s">
        <v>5</v>
      </c>
      <c r="B3" s="1" t="s">
        <v>2454</v>
      </c>
      <c r="C3" s="1">
        <v>433.74</v>
      </c>
      <c r="D3" s="1">
        <v>3.27</v>
      </c>
    </row>
    <row r="4" spans="1:28" ht="16">
      <c r="T4" s="12" t="s">
        <v>2449</v>
      </c>
      <c r="U4" s="11"/>
      <c r="V4" s="13" t="s">
        <v>2451</v>
      </c>
      <c r="W4" s="13"/>
      <c r="X4" s="13"/>
      <c r="Y4" s="11"/>
    </row>
    <row r="5" spans="1:28">
      <c r="A5" s="1">
        <v>12</v>
      </c>
      <c r="C5" s="1">
        <f>SQRT(C2*C3)</f>
        <v>255.65402281208094</v>
      </c>
      <c r="D5" s="1">
        <f>1/(0.125*(1/D2^(1/3)+1/D3^(1/3))^3)</f>
        <v>6.0988228813537599</v>
      </c>
      <c r="F5" s="1" t="s">
        <v>10</v>
      </c>
      <c r="G5" s="1" t="s">
        <v>11</v>
      </c>
      <c r="H5" s="1" t="s">
        <v>12</v>
      </c>
      <c r="I5" s="1" t="s">
        <v>13</v>
      </c>
      <c r="U5" s="1" t="s">
        <v>1456</v>
      </c>
      <c r="Z5" s="1" t="s">
        <v>1457</v>
      </c>
    </row>
    <row r="6" spans="1:28">
      <c r="F6" s="1">
        <v>0</v>
      </c>
      <c r="G6" s="1">
        <f>1-F6</f>
        <v>1</v>
      </c>
      <c r="H6" s="3">
        <f>F6^2*$C$2+G6^2*$C$3+2*$F$2*$G$2*((F6*G6)/(($F$2^2-1)*F6+1))*$C$5</f>
        <v>433.74</v>
      </c>
      <c r="I6" s="3">
        <f>1/(F6^2/$D$2+G6^2/$D$3+2*$H$2*$I$2*((F6*G6)/(($H$2^2-1)*F6+1))*(1/$D$5))</f>
        <v>3.27</v>
      </c>
    </row>
    <row r="7" spans="1:28">
      <c r="F7" s="1">
        <v>0.1</v>
      </c>
      <c r="G7" s="1">
        <f t="shared" ref="G7:G16" si="0">1-F7</f>
        <v>0.9</v>
      </c>
      <c r="H7" s="3">
        <f t="shared" ref="H7:H16" si="1">F7^2*$C$2+G7^2*$C$3+2*$F$2*$G$2*((F7*G7)/(($F$2^2-1)*F7+1))*$C$5</f>
        <v>413.55527642637418</v>
      </c>
      <c r="I7" s="3">
        <f t="shared" ref="I7:I16" si="2">1/(F7^2/$D$2+G7^2/$D$3+2*$H$2*$I$2*((F7*G7)/(($H$2^2-1)*F7+1))*(1/$D$5))</f>
        <v>3.5975601024519559</v>
      </c>
      <c r="T7" s="1" t="s">
        <v>10</v>
      </c>
      <c r="U7" s="1" t="b">
        <v>1</v>
      </c>
      <c r="V7" s="1" t="s">
        <v>2450</v>
      </c>
      <c r="W7" s="1" t="s">
        <v>2455</v>
      </c>
      <c r="Y7" s="1" t="s">
        <v>10</v>
      </c>
      <c r="Z7" s="1" t="b">
        <v>1</v>
      </c>
      <c r="AA7" s="1" t="s">
        <v>2450</v>
      </c>
      <c r="AB7" s="1" t="s">
        <v>2455</v>
      </c>
    </row>
    <row r="8" spans="1:28">
      <c r="F8" s="1">
        <v>0.2</v>
      </c>
      <c r="G8" s="1">
        <f t="shared" si="0"/>
        <v>0.8</v>
      </c>
      <c r="H8" s="3">
        <f t="shared" si="1"/>
        <v>391.56598031355412</v>
      </c>
      <c r="I8" s="3">
        <f t="shared" si="2"/>
        <v>3.9813479220372199</v>
      </c>
      <c r="T8" s="1">
        <v>0</v>
      </c>
      <c r="U8" s="1">
        <v>433.74</v>
      </c>
      <c r="V8" s="3">
        <v>433.74</v>
      </c>
      <c r="W8" s="3">
        <v>433.74</v>
      </c>
      <c r="X8" s="3"/>
      <c r="Y8" s="1">
        <v>0</v>
      </c>
      <c r="Z8" s="1">
        <v>3.27</v>
      </c>
      <c r="AA8" s="3">
        <v>3.27</v>
      </c>
      <c r="AB8" s="1">
        <v>3.27</v>
      </c>
    </row>
    <row r="9" spans="1:28">
      <c r="F9" s="1">
        <v>0.3</v>
      </c>
      <c r="G9" s="1">
        <f t="shared" si="0"/>
        <v>0.7</v>
      </c>
      <c r="H9" s="3">
        <f t="shared" si="1"/>
        <v>367.77211166153967</v>
      </c>
      <c r="I9" s="3">
        <f t="shared" si="2"/>
        <v>4.4360546052338483</v>
      </c>
      <c r="T9" s="1">
        <v>0.1</v>
      </c>
      <c r="U9" s="1">
        <v>412.07330427029757</v>
      </c>
      <c r="V9" s="3">
        <v>414.42493066970735</v>
      </c>
      <c r="W9" s="3">
        <v>413.55527642637418</v>
      </c>
      <c r="X9" s="3"/>
      <c r="Y9" s="1">
        <v>0.1</v>
      </c>
      <c r="Z9" s="1">
        <v>3.5975601024519559</v>
      </c>
      <c r="AA9" s="3">
        <v>3.5613589940612553</v>
      </c>
      <c r="AB9" s="1">
        <v>3.5975601024519559</v>
      </c>
    </row>
    <row r="10" spans="1:28">
      <c r="F10" s="1">
        <v>0.4</v>
      </c>
      <c r="G10" s="1">
        <f t="shared" si="0"/>
        <v>0.6</v>
      </c>
      <c r="H10" s="3">
        <f t="shared" si="1"/>
        <v>342.1736704703311</v>
      </c>
      <c r="I10" s="3">
        <f t="shared" si="2"/>
        <v>4.9818377875662945</v>
      </c>
      <c r="T10" s="1">
        <v>0.2</v>
      </c>
      <c r="U10" s="1">
        <v>388.92736128043674</v>
      </c>
      <c r="V10" s="3">
        <v>392.71694635255324</v>
      </c>
      <c r="W10" s="3">
        <v>391.56598031355412</v>
      </c>
      <c r="X10" s="3"/>
      <c r="Y10" s="1">
        <v>0.2</v>
      </c>
      <c r="Z10" s="1">
        <v>3.9813479220372199</v>
      </c>
      <c r="AA10" s="3">
        <v>3.9055287709746875</v>
      </c>
      <c r="AB10" s="1">
        <v>3.9813479220372199</v>
      </c>
    </row>
    <row r="11" spans="1:28">
      <c r="F11" s="1">
        <v>0.5</v>
      </c>
      <c r="G11" s="1">
        <f t="shared" si="0"/>
        <v>0.5</v>
      </c>
      <c r="H11" s="3">
        <f t="shared" si="1"/>
        <v>314.7706567399282</v>
      </c>
      <c r="I11" s="3">
        <f t="shared" si="2"/>
        <v>5.6471010017539722</v>
      </c>
      <c r="T11" s="1">
        <v>0.3</v>
      </c>
      <c r="U11" s="1">
        <v>364.30367212963063</v>
      </c>
      <c r="V11" s="3">
        <v>368.76793308694891</v>
      </c>
      <c r="W11" s="3">
        <v>367.77211166153967</v>
      </c>
      <c r="X11" s="3"/>
      <c r="Y11" s="1">
        <v>0.3</v>
      </c>
      <c r="Z11" s="1">
        <v>4.4360546052338483</v>
      </c>
      <c r="AA11" s="3">
        <v>4.3171684881009975</v>
      </c>
      <c r="AB11" s="1">
        <v>4.4360546052338483</v>
      </c>
    </row>
    <row r="12" spans="1:28">
      <c r="F12" s="1">
        <v>0.6</v>
      </c>
      <c r="G12" s="1">
        <f t="shared" si="0"/>
        <v>0.4</v>
      </c>
      <c r="H12" s="3">
        <f t="shared" si="1"/>
        <v>285.56307047033113</v>
      </c>
      <c r="I12" s="3">
        <f t="shared" si="2"/>
        <v>6.4731555708244031</v>
      </c>
      <c r="T12" s="1">
        <v>0.4</v>
      </c>
      <c r="U12" s="1">
        <v>338.20373768893859</v>
      </c>
      <c r="V12" s="3">
        <v>342.72760036332159</v>
      </c>
      <c r="W12" s="3">
        <v>342.1736704703311</v>
      </c>
      <c r="X12" s="3"/>
      <c r="Y12" s="1">
        <v>0.4</v>
      </c>
      <c r="Z12" s="1">
        <v>4.9818377875662945</v>
      </c>
      <c r="AA12" s="3">
        <v>4.8168317137161418</v>
      </c>
      <c r="AB12" s="1">
        <v>4.9818377875662945</v>
      </c>
    </row>
    <row r="13" spans="1:28">
      <c r="F13" s="1">
        <v>0.7</v>
      </c>
      <c r="G13" s="1">
        <f t="shared" si="0"/>
        <v>0.30000000000000004</v>
      </c>
      <c r="H13" s="3">
        <f t="shared" si="1"/>
        <v>254.55091166153971</v>
      </c>
      <c r="I13" s="3">
        <f>1/(F13^2/$D$2+G13^2/$D$3+2*$H$2*$I$2*((F13*G13)/(($H$2^2-1)*F13+1))*(1/$D$5))</f>
        <v>7.5224403120352088</v>
      </c>
      <c r="T13" s="1">
        <v>0.5</v>
      </c>
      <c r="U13" s="1">
        <v>310.62905860130888</v>
      </c>
      <c r="V13" s="3">
        <v>314.74351997272993</v>
      </c>
      <c r="W13" s="3">
        <v>314.7706567399282</v>
      </c>
      <c r="X13" s="3"/>
      <c r="Y13" s="1">
        <v>0.5</v>
      </c>
      <c r="Z13" s="1">
        <v>5.6471010017539722</v>
      </c>
      <c r="AA13" s="3">
        <v>5.4342392293337083</v>
      </c>
      <c r="AB13" s="1">
        <v>5.6471010017539722</v>
      </c>
    </row>
    <row r="14" spans="1:28">
      <c r="F14" s="1">
        <v>0.8</v>
      </c>
      <c r="G14" s="1">
        <f t="shared" si="0"/>
        <v>0.19999999999999996</v>
      </c>
      <c r="H14" s="3">
        <f t="shared" si="1"/>
        <v>221.73418031355405</v>
      </c>
      <c r="I14" s="3">
        <f t="shared" si="2"/>
        <v>8.8939260355302832</v>
      </c>
      <c r="T14" s="1">
        <v>0.6</v>
      </c>
      <c r="U14" s="1">
        <v>281.58113528162272</v>
      </c>
      <c r="V14" s="3">
        <v>284.96116402636301</v>
      </c>
      <c r="W14" s="3">
        <v>285.56307047033113</v>
      </c>
      <c r="X14" s="3"/>
      <c r="Y14" s="1">
        <v>0.6</v>
      </c>
      <c r="Z14" s="1">
        <v>6.4731555708244031</v>
      </c>
      <c r="AA14" s="3">
        <v>6.2140007810403013</v>
      </c>
      <c r="AB14" s="1">
        <v>6.4731555708244031</v>
      </c>
    </row>
    <row r="15" spans="1:28">
      <c r="F15" s="1">
        <v>0.9</v>
      </c>
      <c r="G15" s="1">
        <f t="shared" si="0"/>
        <v>9.9999999999999978E-2</v>
      </c>
      <c r="H15" s="3">
        <f t="shared" si="1"/>
        <v>187.11287642637416</v>
      </c>
      <c r="I15" s="3">
        <f>1/(F15^2/$D$2+G15^2/$D$3+2*$H$2*$I$2*((F15*G15)/(($H$2^2-1)*F15+1))*(1/$D$5))</f>
        <v>10.754276981690499</v>
      </c>
      <c r="T15" s="1">
        <v>0.7</v>
      </c>
      <c r="U15" s="1">
        <v>251.06146791673692</v>
      </c>
      <c r="V15" s="3">
        <v>253.52394216649068</v>
      </c>
      <c r="W15" s="3">
        <v>254.55091166153971</v>
      </c>
      <c r="X15" s="3"/>
      <c r="Y15" s="1">
        <v>0.7</v>
      </c>
      <c r="Z15" s="1">
        <v>7.5224403120352088</v>
      </c>
      <c r="AA15" s="3">
        <v>7.2262270127157278</v>
      </c>
      <c r="AB15" s="1">
        <v>7.5224403120352088</v>
      </c>
    </row>
    <row r="16" spans="1:28">
      <c r="F16" s="1">
        <v>1</v>
      </c>
      <c r="G16" s="1">
        <f t="shared" si="0"/>
        <v>0</v>
      </c>
      <c r="H16" s="3">
        <f t="shared" si="1"/>
        <v>150.68700000000001</v>
      </c>
      <c r="I16" s="3">
        <f t="shared" si="2"/>
        <v>13.407429649999999</v>
      </c>
      <c r="T16" s="1">
        <v>0.8</v>
      </c>
      <c r="U16" s="1">
        <v>219.07155646552766</v>
      </c>
      <c r="V16" s="3">
        <v>220.57323798885767</v>
      </c>
      <c r="W16" s="3">
        <v>221.73418031355405</v>
      </c>
      <c r="X16" s="3"/>
      <c r="Y16" s="1">
        <v>0.8</v>
      </c>
      <c r="Z16" s="1">
        <v>8.8939260355302832</v>
      </c>
      <c r="AA16" s="3">
        <v>8.5877154021200912</v>
      </c>
      <c r="AB16" s="1">
        <v>8.8939260355302832</v>
      </c>
    </row>
    <row r="17" spans="2:28">
      <c r="T17" s="1">
        <v>0.9</v>
      </c>
      <c r="U17" s="1">
        <v>185.61290065893385</v>
      </c>
      <c r="V17" s="3">
        <v>186.24844469594765</v>
      </c>
      <c r="W17" s="3">
        <v>187.11287642637416</v>
      </c>
      <c r="X17" s="3"/>
      <c r="Y17" s="1">
        <v>0.9</v>
      </c>
      <c r="Z17" s="1">
        <v>10.754276981690499</v>
      </c>
      <c r="AA17" s="3">
        <v>10.5084464391387</v>
      </c>
      <c r="AB17" s="1">
        <v>10.754276981690499</v>
      </c>
    </row>
    <row r="18" spans="2:28">
      <c r="T18" s="1">
        <v>1</v>
      </c>
      <c r="U18" s="1">
        <v>150.68700000000001</v>
      </c>
      <c r="V18" s="3">
        <v>150.68700000000001</v>
      </c>
      <c r="W18" s="3">
        <v>150.68700000000001</v>
      </c>
      <c r="X18" s="3"/>
      <c r="Y18" s="1">
        <v>1</v>
      </c>
      <c r="Z18" s="1">
        <v>13.407429649999999</v>
      </c>
      <c r="AA18" s="3">
        <v>13.407429649999999</v>
      </c>
      <c r="AB18" s="1">
        <v>13.407429649999999</v>
      </c>
    </row>
    <row r="21" spans="2:28" ht="16">
      <c r="B21" s="12" t="s">
        <v>2449</v>
      </c>
      <c r="C21" s="11"/>
      <c r="D21" s="13" t="s">
        <v>2451</v>
      </c>
      <c r="E21" s="11"/>
      <c r="F21" s="11"/>
    </row>
    <row r="22" spans="2:28" ht="16">
      <c r="B22" s="11"/>
      <c r="C22" s="11"/>
      <c r="D22" s="11"/>
      <c r="E22" s="11"/>
      <c r="F22" s="11"/>
      <c r="T22" s="12" t="s">
        <v>2452</v>
      </c>
      <c r="U22" s="11"/>
      <c r="V22" s="12" t="s">
        <v>2453</v>
      </c>
      <c r="W22" s="12"/>
      <c r="X22" s="12"/>
      <c r="Y22" s="11"/>
    </row>
    <row r="23" spans="2:28" ht="16">
      <c r="B23" s="12" t="b">
        <v>1</v>
      </c>
      <c r="C23" s="11">
        <v>1.0001899999999999</v>
      </c>
      <c r="D23" s="11">
        <v>1.2870699999999999</v>
      </c>
      <c r="E23" s="11">
        <v>1</v>
      </c>
      <c r="F23" s="11">
        <v>1</v>
      </c>
      <c r="U23" s="1" t="s">
        <v>1456</v>
      </c>
      <c r="Z23" s="1" t="s">
        <v>1457</v>
      </c>
    </row>
    <row r="24" spans="2:28" ht="16">
      <c r="B24" s="12" t="s">
        <v>2450</v>
      </c>
      <c r="C24" s="11">
        <v>1.0180108999999999</v>
      </c>
      <c r="D24" s="11">
        <v>1.3194679</v>
      </c>
      <c r="E24" s="11">
        <v>1.0127758</v>
      </c>
      <c r="F24" s="11">
        <v>1.084695</v>
      </c>
    </row>
    <row r="25" spans="2:28">
      <c r="T25" s="1" t="s">
        <v>10</v>
      </c>
      <c r="U25" s="1" t="b">
        <v>1</v>
      </c>
      <c r="V25" s="1" t="s">
        <v>2450</v>
      </c>
      <c r="W25" s="1" t="s">
        <v>2455</v>
      </c>
      <c r="Y25" s="1" t="s">
        <v>10</v>
      </c>
      <c r="Z25" s="1" t="b">
        <v>1</v>
      </c>
      <c r="AA25" s="1" t="s">
        <v>2450</v>
      </c>
      <c r="AB25" s="1" t="s">
        <v>2455</v>
      </c>
    </row>
    <row r="26" spans="2:28">
      <c r="T26" s="1">
        <v>0</v>
      </c>
      <c r="U26" s="1">
        <v>514.71</v>
      </c>
      <c r="V26" s="1">
        <v>514.71</v>
      </c>
      <c r="W26" s="1">
        <v>514.71</v>
      </c>
      <c r="Y26" s="1">
        <v>0</v>
      </c>
      <c r="Z26" s="1">
        <v>5.93</v>
      </c>
      <c r="AA26" s="1">
        <v>5.93</v>
      </c>
      <c r="AB26" s="3">
        <v>5.93</v>
      </c>
    </row>
    <row r="27" spans="2:28">
      <c r="T27" s="1">
        <v>0.1</v>
      </c>
      <c r="U27" s="1">
        <v>493.21489614292864</v>
      </c>
      <c r="V27" s="1">
        <v>469.1715892991063</v>
      </c>
      <c r="W27" s="1">
        <v>468.30936806919618</v>
      </c>
      <c r="Y27" s="1">
        <v>0.1</v>
      </c>
      <c r="Z27" s="1">
        <v>6.3254180418598258</v>
      </c>
      <c r="AA27" s="1">
        <v>6.3510343883509925</v>
      </c>
      <c r="AB27" s="3">
        <v>6.3254180418598258</v>
      </c>
    </row>
    <row r="28" spans="2:28" ht="16">
      <c r="B28" s="12" t="s">
        <v>2452</v>
      </c>
      <c r="C28" s="11"/>
      <c r="D28" s="12" t="s">
        <v>2453</v>
      </c>
      <c r="E28" s="11"/>
      <c r="F28" s="11"/>
      <c r="T28" s="1">
        <v>0.2</v>
      </c>
      <c r="U28" s="1">
        <v>468.40708203187319</v>
      </c>
      <c r="V28" s="1">
        <v>425.27000015893287</v>
      </c>
      <c r="W28" s="1">
        <v>424.13058767857109</v>
      </c>
      <c r="Y28" s="1">
        <v>0.2</v>
      </c>
      <c r="Z28" s="1">
        <v>6.7657527315130821</v>
      </c>
      <c r="AA28" s="1">
        <v>6.8091384627920872</v>
      </c>
      <c r="AB28" s="3">
        <v>6.7657527315130821</v>
      </c>
    </row>
    <row r="29" spans="2:28" ht="15">
      <c r="B29" s="11"/>
      <c r="C29" s="11"/>
      <c r="D29" s="11"/>
      <c r="E29" s="11"/>
      <c r="F29" s="11"/>
      <c r="T29" s="1">
        <v>0.3</v>
      </c>
      <c r="U29" s="1">
        <v>440.28655766683335</v>
      </c>
      <c r="V29" s="1">
        <v>383.15725093114031</v>
      </c>
      <c r="W29" s="1">
        <v>382.17365882812436</v>
      </c>
      <c r="Y29" s="1">
        <v>0.3</v>
      </c>
      <c r="Z29" s="1">
        <v>7.258645349967197</v>
      </c>
      <c r="AA29" s="1">
        <v>7.3107318001861943</v>
      </c>
      <c r="AB29" s="3">
        <v>7.258645349967197</v>
      </c>
    </row>
    <row r="30" spans="2:28" ht="16">
      <c r="B30" s="12" t="b">
        <v>1</v>
      </c>
      <c r="C30" s="11">
        <v>1</v>
      </c>
      <c r="D30" s="11">
        <v>1.492</v>
      </c>
      <c r="E30" s="11">
        <v>1</v>
      </c>
      <c r="F30" s="11">
        <v>1</v>
      </c>
      <c r="T30" s="1">
        <v>0.4</v>
      </c>
      <c r="U30" s="1">
        <v>408.85332304780962</v>
      </c>
      <c r="V30" s="1">
        <v>342.98273129300617</v>
      </c>
      <c r="W30" s="1">
        <v>342.43858151785639</v>
      </c>
      <c r="Y30" s="1">
        <v>0.4</v>
      </c>
      <c r="Z30" s="1">
        <v>7.8135417667401699</v>
      </c>
      <c r="AA30" s="1">
        <v>7.8644049592487431</v>
      </c>
      <c r="AB30" s="3">
        <v>7.8135417667401699</v>
      </c>
    </row>
    <row r="31" spans="2:28" ht="16">
      <c r="B31" s="12" t="s">
        <v>2450</v>
      </c>
      <c r="C31" s="11">
        <v>1.0217584</v>
      </c>
      <c r="D31" s="11">
        <v>0.99517429999999996</v>
      </c>
      <c r="E31" s="11">
        <v>0.97309904999999997</v>
      </c>
      <c r="F31" s="11">
        <v>0.9907823</v>
      </c>
      <c r="T31" s="1">
        <v>0.5</v>
      </c>
      <c r="U31" s="1">
        <v>374.10737817480168</v>
      </c>
      <c r="V31" s="1">
        <v>304.89325882107221</v>
      </c>
      <c r="W31" s="1">
        <v>304.92535574776707</v>
      </c>
      <c r="Y31" s="1">
        <v>0.5</v>
      </c>
      <c r="Z31" s="1">
        <v>8.4422554888286765</v>
      </c>
      <c r="AA31" s="1">
        <v>8.4818248910742717</v>
      </c>
      <c r="AB31" s="3">
        <v>8.4422554888286765</v>
      </c>
    </row>
    <row r="32" spans="2:28">
      <c r="T32" s="1">
        <v>0.6</v>
      </c>
      <c r="U32" s="1">
        <v>336.04872304780963</v>
      </c>
      <c r="V32" s="1">
        <v>269.03313410998015</v>
      </c>
      <c r="W32" s="1">
        <v>269.63398151785645</v>
      </c>
      <c r="Y32" s="1">
        <v>0.6</v>
      </c>
      <c r="Z32" s="1">
        <v>9.1597551866950422</v>
      </c>
      <c r="AA32" s="1">
        <v>9.1790934137012226</v>
      </c>
      <c r="AB32" s="3">
        <v>9.1597551866950422</v>
      </c>
    </row>
    <row r="33" spans="20:28">
      <c r="T33" s="1">
        <v>0.7</v>
      </c>
      <c r="U33" s="1">
        <v>294.67735766683347</v>
      </c>
      <c r="V33" s="1">
        <v>235.54419447995207</v>
      </c>
      <c r="W33" s="1">
        <v>236.5644588281244</v>
      </c>
      <c r="Y33" s="1">
        <v>0.7</v>
      </c>
      <c r="Z33" s="1">
        <v>9.9852884874251711</v>
      </c>
      <c r="AA33" s="1">
        <v>9.978853724463562</v>
      </c>
      <c r="AB33" s="3">
        <v>9.9852884874251711</v>
      </c>
    </row>
    <row r="34" spans="20:28">
      <c r="T34" s="1">
        <v>0.8</v>
      </c>
      <c r="U34" s="1">
        <v>249.99328203187306</v>
      </c>
      <c r="V34" s="1">
        <v>204.56586631489986</v>
      </c>
      <c r="W34" s="1">
        <v>205.71678767857094</v>
      </c>
      <c r="Y34" s="1">
        <v>0.8</v>
      </c>
      <c r="Z34" s="1">
        <v>10.944022314599172</v>
      </c>
      <c r="AA34" s="1">
        <v>10.913686242550533</v>
      </c>
      <c r="AB34" s="3">
        <v>10.944022314599172</v>
      </c>
    </row>
    <row r="35" spans="20:28">
      <c r="T35" s="1">
        <v>0.9</v>
      </c>
      <c r="U35" s="1">
        <v>201.99649614292861</v>
      </c>
      <c r="V35" s="1">
        <v>176.23521607172466</v>
      </c>
      <c r="W35" s="1">
        <v>177.09096806919615</v>
      </c>
      <c r="Y35" s="1">
        <v>0.9</v>
      </c>
      <c r="Z35" s="1">
        <v>12.0694996629011</v>
      </c>
      <c r="AA35" s="1">
        <v>12.031838400422902</v>
      </c>
      <c r="AB35" s="3">
        <v>12.0694996629011</v>
      </c>
    </row>
    <row r="36" spans="20:28">
      <c r="T36" s="1">
        <v>1</v>
      </c>
      <c r="U36" s="1">
        <v>150.68700000000001</v>
      </c>
      <c r="V36" s="1">
        <v>150.68700000000001</v>
      </c>
      <c r="W36" s="1">
        <v>150.68700000000001</v>
      </c>
      <c r="Y36" s="1">
        <v>1</v>
      </c>
      <c r="Z36" s="1">
        <v>13.407429649999999</v>
      </c>
      <c r="AA36" s="1">
        <v>13.407429649999999</v>
      </c>
      <c r="AB36" s="3">
        <v>13.407429649999999</v>
      </c>
    </row>
  </sheetData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DC1A1-302F-4A88-A354-0D10A9ED1B5B}">
  <sheetPr codeName="Sheet2"/>
  <dimension ref="A1:E150"/>
  <sheetViews>
    <sheetView topLeftCell="A64" workbookViewId="0">
      <selection activeCell="D80" sqref="D80:E80"/>
    </sheetView>
  </sheetViews>
  <sheetFormatPr baseColWidth="10" defaultColWidth="8.83203125" defaultRowHeight="15"/>
  <cols>
    <col min="1" max="3" width="31.33203125" style="9" customWidth="1"/>
  </cols>
  <sheetData>
    <row r="1" spans="1:5">
      <c r="A1" s="8" t="s">
        <v>1173</v>
      </c>
      <c r="B1" s="8" t="s">
        <v>1172</v>
      </c>
      <c r="C1" s="8" t="s">
        <v>1186</v>
      </c>
      <c r="D1" s="5" t="s">
        <v>14</v>
      </c>
      <c r="E1" s="6" t="s">
        <v>15</v>
      </c>
    </row>
    <row r="2" spans="1:5">
      <c r="A2" s="9" t="s">
        <v>16</v>
      </c>
      <c r="B2" s="9" t="s">
        <v>1187</v>
      </c>
      <c r="C2" s="9" t="s">
        <v>1188</v>
      </c>
      <c r="D2">
        <v>425.13499999999999</v>
      </c>
      <c r="E2">
        <v>4.53</v>
      </c>
    </row>
    <row r="3" spans="1:5">
      <c r="A3" s="9" t="s">
        <v>17</v>
      </c>
      <c r="B3" s="9" t="s">
        <v>1189</v>
      </c>
      <c r="C3" s="9" t="s">
        <v>1190</v>
      </c>
      <c r="D3">
        <v>419.29</v>
      </c>
      <c r="E3">
        <v>4.24</v>
      </c>
    </row>
    <row r="4" spans="1:5">
      <c r="A4" s="9" t="s">
        <v>18</v>
      </c>
      <c r="B4" s="9" t="s">
        <v>1191</v>
      </c>
      <c r="C4" s="9" t="s">
        <v>1192</v>
      </c>
      <c r="D4">
        <v>432</v>
      </c>
      <c r="E4">
        <v>4.6500000000000004</v>
      </c>
    </row>
    <row r="5" spans="1:5">
      <c r="A5" s="9" t="s">
        <v>19</v>
      </c>
      <c r="B5" s="9" t="s">
        <v>1193</v>
      </c>
      <c r="C5" s="9" t="s">
        <v>1194</v>
      </c>
      <c r="D5">
        <v>465.74</v>
      </c>
      <c r="E5">
        <v>3.45</v>
      </c>
    </row>
    <row r="6" spans="1:5">
      <c r="A6" s="9" t="s">
        <v>20</v>
      </c>
      <c r="B6" s="9" t="s">
        <v>1195</v>
      </c>
      <c r="C6" s="9" t="s">
        <v>1196</v>
      </c>
      <c r="D6">
        <v>490</v>
      </c>
      <c r="E6">
        <v>2.78</v>
      </c>
    </row>
    <row r="7" spans="1:5">
      <c r="A7" s="9" t="s">
        <v>21</v>
      </c>
      <c r="B7" s="9" t="s">
        <v>1197</v>
      </c>
      <c r="C7" s="9" t="s">
        <v>1198</v>
      </c>
      <c r="D7">
        <v>500.6</v>
      </c>
      <c r="E7">
        <v>2.8</v>
      </c>
    </row>
    <row r="8" spans="1:5">
      <c r="A8" s="9" t="s">
        <v>22</v>
      </c>
      <c r="B8" s="9" t="s">
        <v>1199</v>
      </c>
      <c r="C8" s="9" t="s">
        <v>1200</v>
      </c>
      <c r="D8">
        <v>506</v>
      </c>
      <c r="E8">
        <v>2.78</v>
      </c>
    </row>
    <row r="9" spans="1:5">
      <c r="A9" s="9" t="s">
        <v>23</v>
      </c>
      <c r="B9" s="9" t="s">
        <v>1179</v>
      </c>
      <c r="C9" s="9" t="s">
        <v>1447</v>
      </c>
      <c r="D9">
        <v>508.1</v>
      </c>
      <c r="E9">
        <v>4.7</v>
      </c>
    </row>
    <row r="10" spans="1:5">
      <c r="A10" s="9" t="s">
        <v>24</v>
      </c>
      <c r="B10" s="9" t="s">
        <v>1201</v>
      </c>
      <c r="C10" s="9" t="s">
        <v>1202</v>
      </c>
      <c r="D10">
        <v>308.3</v>
      </c>
      <c r="E10">
        <v>8.83</v>
      </c>
    </row>
    <row r="11" spans="1:5">
      <c r="A11" s="9" t="s">
        <v>25</v>
      </c>
      <c r="B11" s="9" t="s">
        <v>1203</v>
      </c>
      <c r="C11" s="9" t="s">
        <v>1204</v>
      </c>
      <c r="D11">
        <v>405.56</v>
      </c>
      <c r="E11">
        <v>13.696</v>
      </c>
    </row>
    <row r="12" spans="1:5">
      <c r="A12" s="9" t="s">
        <v>26</v>
      </c>
      <c r="B12" s="9" t="s">
        <v>1205</v>
      </c>
      <c r="C12" s="9" t="s">
        <v>1206</v>
      </c>
      <c r="D12">
        <v>150.68700000000001</v>
      </c>
      <c r="E12">
        <v>13.407429649999999</v>
      </c>
    </row>
    <row r="13" spans="1:5">
      <c r="A13" s="9" t="s">
        <v>27</v>
      </c>
      <c r="B13" s="9" t="s">
        <v>1180</v>
      </c>
      <c r="C13" s="9" t="s">
        <v>1207</v>
      </c>
      <c r="D13">
        <v>562.02</v>
      </c>
      <c r="E13">
        <v>3.9009999999999998</v>
      </c>
    </row>
    <row r="14" spans="1:5">
      <c r="A14" s="9" t="s">
        <v>28</v>
      </c>
      <c r="B14" s="9" t="s">
        <v>1208</v>
      </c>
      <c r="C14" s="9" t="s">
        <v>1209</v>
      </c>
      <c r="D14">
        <v>425.125</v>
      </c>
      <c r="E14">
        <v>3.9227696129999998</v>
      </c>
    </row>
    <row r="15" spans="1:5">
      <c r="A15" s="9" t="s">
        <v>29</v>
      </c>
      <c r="B15" s="9" t="s">
        <v>1210</v>
      </c>
      <c r="C15" s="9" t="s">
        <v>1211</v>
      </c>
      <c r="D15">
        <v>638.79999999999995</v>
      </c>
      <c r="E15">
        <v>1.5148999999999999</v>
      </c>
    </row>
    <row r="16" spans="1:5">
      <c r="A16" s="9" t="s">
        <v>30</v>
      </c>
      <c r="B16" s="9" t="s">
        <v>1212</v>
      </c>
      <c r="C16" s="9" t="s">
        <v>1213</v>
      </c>
      <c r="D16">
        <v>658.1</v>
      </c>
      <c r="E16">
        <v>1.33</v>
      </c>
    </row>
    <row r="17" spans="1:5">
      <c r="A17" s="9" t="s">
        <v>31</v>
      </c>
      <c r="B17" s="9" t="s">
        <v>1214</v>
      </c>
      <c r="C17" s="9" t="s">
        <v>1215</v>
      </c>
      <c r="D17">
        <v>722.1</v>
      </c>
      <c r="E17">
        <v>1</v>
      </c>
    </row>
    <row r="18" spans="1:5">
      <c r="A18" s="9" t="s">
        <v>32</v>
      </c>
      <c r="B18" s="9" t="s">
        <v>1216</v>
      </c>
      <c r="C18" s="9" t="s">
        <v>1217</v>
      </c>
      <c r="D18">
        <v>572.20000000000005</v>
      </c>
      <c r="E18">
        <v>2.72</v>
      </c>
    </row>
    <row r="19" spans="1:5">
      <c r="A19" s="9" t="s">
        <v>33</v>
      </c>
      <c r="B19" s="9" t="s">
        <v>1218</v>
      </c>
      <c r="C19" s="9" t="s">
        <v>1219</v>
      </c>
      <c r="D19">
        <v>792.2</v>
      </c>
      <c r="E19">
        <v>0.72299999999999998</v>
      </c>
    </row>
    <row r="20" spans="1:5">
      <c r="A20" s="9" t="s">
        <v>34</v>
      </c>
      <c r="B20" s="9" t="s">
        <v>1220</v>
      </c>
      <c r="C20" s="9" t="s">
        <v>1221</v>
      </c>
      <c r="D20">
        <v>435.75</v>
      </c>
      <c r="E20">
        <v>4.2439999999999998</v>
      </c>
    </row>
    <row r="21" spans="1:5">
      <c r="A21" s="9" t="s">
        <v>35</v>
      </c>
      <c r="B21" s="9" t="s">
        <v>1222</v>
      </c>
      <c r="C21" s="9" t="s">
        <v>1223</v>
      </c>
      <c r="D21">
        <v>630.79999999999995</v>
      </c>
      <c r="E21">
        <v>2.06</v>
      </c>
    </row>
    <row r="22" spans="1:5">
      <c r="A22" s="9" t="s">
        <v>36</v>
      </c>
      <c r="B22" s="9" t="s">
        <v>1224</v>
      </c>
      <c r="C22" s="9" t="s">
        <v>1225</v>
      </c>
      <c r="D22">
        <v>386.32600000000002</v>
      </c>
      <c r="E22">
        <v>2.637</v>
      </c>
    </row>
    <row r="23" spans="1:5">
      <c r="A23" s="9" t="s">
        <v>37</v>
      </c>
      <c r="B23" s="9" t="s">
        <v>1226</v>
      </c>
      <c r="C23" s="9" t="s">
        <v>1227</v>
      </c>
      <c r="D23">
        <v>421</v>
      </c>
      <c r="E23">
        <v>2.17</v>
      </c>
    </row>
    <row r="24" spans="1:5">
      <c r="A24" s="9" t="s">
        <v>38</v>
      </c>
      <c r="B24" s="9" t="s">
        <v>1228</v>
      </c>
      <c r="C24" s="9" t="s">
        <v>1229</v>
      </c>
      <c r="D24">
        <v>448</v>
      </c>
      <c r="E24">
        <v>1.825</v>
      </c>
    </row>
    <row r="25" spans="1:5">
      <c r="A25" s="9" t="s">
        <v>39</v>
      </c>
      <c r="B25" s="9" t="s">
        <v>1230</v>
      </c>
      <c r="C25" s="9" t="s">
        <v>1231</v>
      </c>
      <c r="D25">
        <v>396.44</v>
      </c>
      <c r="E25">
        <v>4.4306000000000001</v>
      </c>
    </row>
    <row r="26" spans="1:5">
      <c r="A26" s="9" t="s">
        <v>40</v>
      </c>
      <c r="B26" s="9" t="s">
        <v>1232</v>
      </c>
      <c r="C26" s="9" t="s">
        <v>1233</v>
      </c>
      <c r="D26">
        <v>416.86540000000002</v>
      </c>
      <c r="E26">
        <v>7.9498290000000003</v>
      </c>
    </row>
    <row r="27" spans="1:5">
      <c r="A27" s="9" t="s">
        <v>41</v>
      </c>
      <c r="B27" s="9" t="s">
        <v>1234</v>
      </c>
      <c r="C27" s="9" t="s">
        <v>1235</v>
      </c>
      <c r="D27">
        <v>632.35</v>
      </c>
      <c r="E27">
        <v>3.24</v>
      </c>
    </row>
    <row r="28" spans="1:5">
      <c r="A28" s="9" t="s">
        <v>42</v>
      </c>
      <c r="B28" s="9" t="s">
        <v>1174</v>
      </c>
      <c r="C28" s="9" t="s">
        <v>1236</v>
      </c>
      <c r="D28">
        <v>132.86000000000001</v>
      </c>
      <c r="E28">
        <v>10.85</v>
      </c>
    </row>
    <row r="29" spans="1:5">
      <c r="A29" s="9" t="s">
        <v>43</v>
      </c>
      <c r="B29" s="9" t="s">
        <v>1237</v>
      </c>
      <c r="C29" s="9" t="s">
        <v>1238</v>
      </c>
      <c r="D29">
        <v>304.12819999999999</v>
      </c>
      <c r="E29">
        <v>10.624906299999999</v>
      </c>
    </row>
    <row r="30" spans="1:5">
      <c r="A30" s="9" t="s">
        <v>44</v>
      </c>
      <c r="B30" s="9" t="s">
        <v>1174</v>
      </c>
      <c r="C30" s="9" t="s">
        <v>1239</v>
      </c>
      <c r="D30">
        <v>378.77</v>
      </c>
      <c r="E30">
        <v>7.41</v>
      </c>
    </row>
    <row r="31" spans="1:5">
      <c r="A31" s="9" t="s">
        <v>45</v>
      </c>
      <c r="B31" s="9" t="s">
        <v>1240</v>
      </c>
      <c r="C31" s="9" t="s">
        <v>1241</v>
      </c>
      <c r="D31">
        <v>448</v>
      </c>
      <c r="E31">
        <v>5.17</v>
      </c>
    </row>
    <row r="32" spans="1:5">
      <c r="A32" s="9" t="s">
        <v>46</v>
      </c>
      <c r="B32" s="9" t="s">
        <v>1176</v>
      </c>
      <c r="C32" s="9" t="s">
        <v>1242</v>
      </c>
      <c r="D32">
        <v>553.6</v>
      </c>
      <c r="E32">
        <v>3.2240000000000002</v>
      </c>
    </row>
    <row r="33" spans="1:5">
      <c r="A33" s="9" t="s">
        <v>47</v>
      </c>
      <c r="B33" s="9" t="s">
        <v>1243</v>
      </c>
      <c r="C33" s="9" t="s">
        <v>1244</v>
      </c>
      <c r="D33">
        <v>511.72</v>
      </c>
      <c r="E33">
        <v>3.92</v>
      </c>
    </row>
    <row r="34" spans="1:5">
      <c r="A34" s="9" t="s">
        <v>48</v>
      </c>
      <c r="B34" s="9" t="s">
        <v>1245</v>
      </c>
      <c r="C34" s="9" t="s">
        <v>1246</v>
      </c>
      <c r="D34">
        <v>398.69099999999997</v>
      </c>
      <c r="E34">
        <v>6.1162150000000004</v>
      </c>
    </row>
    <row r="35" spans="1:5">
      <c r="A35" s="9" t="s">
        <v>49</v>
      </c>
      <c r="B35" s="9" t="s">
        <v>1247</v>
      </c>
      <c r="C35" s="9" t="s">
        <v>1248</v>
      </c>
      <c r="D35">
        <v>38.340000000000003</v>
      </c>
      <c r="E35">
        <v>17.23</v>
      </c>
    </row>
    <row r="36" spans="1:5">
      <c r="A36" s="9" t="s">
        <v>50</v>
      </c>
      <c r="B36" s="9" t="s">
        <v>1247</v>
      </c>
      <c r="C36" s="9" t="s">
        <v>1249</v>
      </c>
      <c r="D36">
        <v>643.84699999999998</v>
      </c>
      <c r="E36">
        <v>17.775549999999999</v>
      </c>
    </row>
    <row r="37" spans="1:5">
      <c r="A37" s="9" t="s">
        <v>51</v>
      </c>
      <c r="B37" s="9" t="s">
        <v>51</v>
      </c>
      <c r="C37" s="9" t="s">
        <v>1250</v>
      </c>
      <c r="D37">
        <v>586.5</v>
      </c>
      <c r="E37">
        <v>1.0435970000000001</v>
      </c>
    </row>
    <row r="38" spans="1:5">
      <c r="A38" s="9" t="s">
        <v>52</v>
      </c>
      <c r="B38" s="9" t="s">
        <v>52</v>
      </c>
      <c r="C38" s="9" t="s">
        <v>1251</v>
      </c>
      <c r="D38">
        <v>618.29999999999995</v>
      </c>
      <c r="E38">
        <v>0.82</v>
      </c>
    </row>
    <row r="39" spans="1:5">
      <c r="A39" s="9" t="s">
        <v>53</v>
      </c>
      <c r="B39" s="9" t="s">
        <v>53</v>
      </c>
      <c r="C39" s="9" t="s">
        <v>1252</v>
      </c>
      <c r="D39">
        <v>645.75800000000004</v>
      </c>
      <c r="E39">
        <v>0.62728854779999998</v>
      </c>
    </row>
    <row r="40" spans="1:5">
      <c r="A40" s="9" t="s">
        <v>54</v>
      </c>
      <c r="B40" s="9" t="s">
        <v>1253</v>
      </c>
      <c r="C40" s="9" t="s">
        <v>1254</v>
      </c>
      <c r="D40">
        <v>736.5</v>
      </c>
      <c r="E40">
        <v>3.3</v>
      </c>
    </row>
    <row r="41" spans="1:5">
      <c r="A41" s="9" t="s">
        <v>55</v>
      </c>
      <c r="B41" s="9" t="s">
        <v>1255</v>
      </c>
      <c r="C41" s="9" t="s">
        <v>1256</v>
      </c>
      <c r="D41">
        <v>617.70000000000005</v>
      </c>
      <c r="E41">
        <v>1.64</v>
      </c>
    </row>
    <row r="42" spans="1:5">
      <c r="A42" s="9" t="s">
        <v>56</v>
      </c>
      <c r="B42" s="9" t="s">
        <v>1257</v>
      </c>
      <c r="C42" s="9" t="s">
        <v>1258</v>
      </c>
      <c r="D42">
        <v>467.9</v>
      </c>
      <c r="E42">
        <v>3.4564020000000002</v>
      </c>
    </row>
    <row r="43" spans="1:5">
      <c r="A43" s="9" t="s">
        <v>57</v>
      </c>
      <c r="B43" s="9" t="s">
        <v>57</v>
      </c>
      <c r="C43" s="9" t="s">
        <v>1259</v>
      </c>
      <c r="D43">
        <v>557</v>
      </c>
      <c r="E43">
        <v>4</v>
      </c>
    </row>
    <row r="44" spans="1:5">
      <c r="A44" s="9" t="s">
        <v>58</v>
      </c>
      <c r="B44" s="9" t="s">
        <v>1260</v>
      </c>
      <c r="C44" s="9" t="s">
        <v>1261</v>
      </c>
      <c r="D44">
        <v>400.37799999999999</v>
      </c>
      <c r="E44">
        <v>5.94</v>
      </c>
    </row>
    <row r="45" spans="1:5">
      <c r="A45" s="9" t="s">
        <v>59</v>
      </c>
      <c r="B45" s="9" t="s">
        <v>1262</v>
      </c>
      <c r="C45" s="9" t="s">
        <v>1263</v>
      </c>
      <c r="D45">
        <v>617.12</v>
      </c>
      <c r="E45">
        <v>2.7410160000000001</v>
      </c>
    </row>
    <row r="46" spans="1:5">
      <c r="A46" s="9" t="s">
        <v>60</v>
      </c>
      <c r="B46" s="9" t="s">
        <v>1264</v>
      </c>
      <c r="C46" s="9" t="s">
        <v>1265</v>
      </c>
      <c r="D46">
        <v>719</v>
      </c>
      <c r="E46">
        <v>5.88</v>
      </c>
    </row>
    <row r="47" spans="1:5">
      <c r="A47" s="9" t="s">
        <v>61</v>
      </c>
      <c r="B47" s="9" t="s">
        <v>1266</v>
      </c>
      <c r="C47" s="9" t="s">
        <v>1267</v>
      </c>
      <c r="D47">
        <v>305.322</v>
      </c>
      <c r="E47">
        <v>6.8568866850000001</v>
      </c>
    </row>
    <row r="48" spans="1:5">
      <c r="A48" s="9" t="s">
        <v>62</v>
      </c>
      <c r="B48" s="9" t="s">
        <v>1268</v>
      </c>
      <c r="C48" s="9" t="s">
        <v>1269</v>
      </c>
      <c r="D48">
        <v>514.71</v>
      </c>
      <c r="E48">
        <v>5.93</v>
      </c>
    </row>
    <row r="49" spans="1:5">
      <c r="A49" s="9" t="s">
        <v>63</v>
      </c>
      <c r="B49" s="9" t="s">
        <v>1270</v>
      </c>
      <c r="C49" s="9" t="s">
        <v>1271</v>
      </c>
      <c r="D49">
        <v>282.35000000000002</v>
      </c>
      <c r="E49">
        <v>7.6367659799999998</v>
      </c>
    </row>
    <row r="50" spans="1:5">
      <c r="A50" s="9" t="s">
        <v>64</v>
      </c>
      <c r="B50" s="9" t="s">
        <v>1272</v>
      </c>
      <c r="C50" s="9" t="s">
        <v>1273</v>
      </c>
      <c r="D50">
        <v>468.92</v>
      </c>
      <c r="E50">
        <v>7.17</v>
      </c>
    </row>
    <row r="51" spans="1:5">
      <c r="A51" s="9" t="s">
        <v>65</v>
      </c>
      <c r="B51" s="9" t="s">
        <v>1274</v>
      </c>
      <c r="C51" s="9" t="s">
        <v>1275</v>
      </c>
      <c r="D51">
        <v>144.41399999999999</v>
      </c>
      <c r="E51">
        <v>15.603</v>
      </c>
    </row>
    <row r="52" spans="1:5">
      <c r="A52" s="9" t="s">
        <v>66</v>
      </c>
      <c r="B52" s="9" t="s">
        <v>1276</v>
      </c>
      <c r="C52" s="9" t="s">
        <v>1277</v>
      </c>
      <c r="D52">
        <v>373.1</v>
      </c>
      <c r="E52">
        <v>10.19</v>
      </c>
    </row>
    <row r="53" spans="1:5">
      <c r="A53" s="9" t="s">
        <v>67</v>
      </c>
      <c r="B53" s="9" t="s">
        <v>1175</v>
      </c>
      <c r="C53" s="9" t="s">
        <v>1278</v>
      </c>
      <c r="D53">
        <v>324.68</v>
      </c>
      <c r="E53">
        <v>11.87</v>
      </c>
    </row>
    <row r="54" spans="1:5">
      <c r="A54" s="9" t="s">
        <v>68</v>
      </c>
      <c r="B54" s="9" t="s">
        <v>1279</v>
      </c>
      <c r="C54" s="9" t="s">
        <v>1280</v>
      </c>
      <c r="D54">
        <v>5.1952999999999996</v>
      </c>
      <c r="E54">
        <v>17.383700000000001</v>
      </c>
    </row>
    <row r="55" spans="1:5">
      <c r="A55" s="9" t="s">
        <v>69</v>
      </c>
      <c r="B55" s="9" t="s">
        <v>1281</v>
      </c>
      <c r="C55" s="9" t="s">
        <v>1282</v>
      </c>
      <c r="D55">
        <v>540.20000000000005</v>
      </c>
      <c r="E55">
        <v>2.33</v>
      </c>
    </row>
    <row r="56" spans="1:5">
      <c r="A56" s="9" t="s">
        <v>70</v>
      </c>
      <c r="B56" s="9" t="s">
        <v>1283</v>
      </c>
      <c r="C56" s="9" t="s">
        <v>1284</v>
      </c>
      <c r="D56">
        <v>507.82</v>
      </c>
      <c r="E56">
        <v>2.706</v>
      </c>
    </row>
    <row r="57" spans="1:5">
      <c r="A57" s="9" t="s">
        <v>71</v>
      </c>
      <c r="B57" s="9" t="s">
        <v>1285</v>
      </c>
      <c r="C57" s="9" t="s">
        <v>1286</v>
      </c>
      <c r="D57">
        <v>33.145000000000003</v>
      </c>
      <c r="E57">
        <v>15.507999999999999</v>
      </c>
    </row>
    <row r="58" spans="1:5">
      <c r="A58" s="9" t="s">
        <v>72</v>
      </c>
      <c r="B58" s="9" t="s">
        <v>1287</v>
      </c>
      <c r="C58" s="9" t="s">
        <v>1288</v>
      </c>
      <c r="D58">
        <v>418.09</v>
      </c>
      <c r="E58">
        <v>4.17</v>
      </c>
    </row>
    <row r="59" spans="1:5">
      <c r="A59" s="9" t="s">
        <v>73</v>
      </c>
      <c r="B59" s="9" t="s">
        <v>1289</v>
      </c>
      <c r="C59" s="9" t="s">
        <v>1290</v>
      </c>
      <c r="D59">
        <v>497.7</v>
      </c>
      <c r="E59">
        <v>2.7149999999999999</v>
      </c>
    </row>
    <row r="60" spans="1:5">
      <c r="A60" s="9" t="s">
        <v>74</v>
      </c>
      <c r="B60" s="9" t="s">
        <v>1291</v>
      </c>
      <c r="C60" s="9" t="s">
        <v>1292</v>
      </c>
      <c r="D60">
        <v>544</v>
      </c>
      <c r="E60">
        <v>2.12</v>
      </c>
    </row>
    <row r="61" spans="1:5">
      <c r="A61" s="9" t="s">
        <v>75</v>
      </c>
      <c r="B61" s="9" t="s">
        <v>1293</v>
      </c>
      <c r="C61" s="9" t="s">
        <v>1294</v>
      </c>
      <c r="D61">
        <v>460.35</v>
      </c>
      <c r="E61">
        <v>3.2709999999999999</v>
      </c>
    </row>
    <row r="62" spans="1:5">
      <c r="A62" s="9" t="s">
        <v>76</v>
      </c>
      <c r="B62" s="9" t="s">
        <v>1295</v>
      </c>
      <c r="C62" s="9" t="s">
        <v>1296</v>
      </c>
      <c r="D62">
        <v>407.81</v>
      </c>
      <c r="E62">
        <v>3.8797567879999999</v>
      </c>
    </row>
    <row r="63" spans="1:5">
      <c r="A63" s="9" t="s">
        <v>77</v>
      </c>
      <c r="B63" s="9" t="s">
        <v>1297</v>
      </c>
      <c r="C63" s="9" t="s">
        <v>1298</v>
      </c>
      <c r="D63">
        <v>209.48</v>
      </c>
      <c r="E63">
        <v>10.85</v>
      </c>
    </row>
    <row r="64" spans="1:5">
      <c r="A64" s="9" t="s">
        <v>78</v>
      </c>
      <c r="B64" s="9" t="s">
        <v>78</v>
      </c>
      <c r="C64" s="9" t="s">
        <v>1299</v>
      </c>
      <c r="D64">
        <v>599.4</v>
      </c>
      <c r="E64">
        <v>0.86399999999999999</v>
      </c>
    </row>
    <row r="65" spans="1:5">
      <c r="A65" s="9" t="s">
        <v>79</v>
      </c>
      <c r="B65" s="9" t="s">
        <v>79</v>
      </c>
      <c r="C65" s="9" t="s">
        <v>1300</v>
      </c>
      <c r="D65">
        <v>628.96</v>
      </c>
      <c r="E65">
        <v>0.7</v>
      </c>
    </row>
    <row r="66" spans="1:5">
      <c r="A66" s="9" t="s">
        <v>80</v>
      </c>
      <c r="B66" s="9" t="s">
        <v>80</v>
      </c>
      <c r="C66" s="9" t="s">
        <v>1301</v>
      </c>
      <c r="D66">
        <v>653.20000000000005</v>
      </c>
      <c r="E66">
        <v>0.56999999999999995</v>
      </c>
    </row>
    <row r="67" spans="1:5">
      <c r="A67" s="9" t="s">
        <v>81</v>
      </c>
      <c r="B67" s="9" t="s">
        <v>81</v>
      </c>
      <c r="C67" s="9" t="s">
        <v>1302</v>
      </c>
      <c r="D67">
        <v>565.36090000000002</v>
      </c>
      <c r="E67">
        <v>1.1339999999999999</v>
      </c>
    </row>
    <row r="68" spans="1:5">
      <c r="A68" s="9" t="s">
        <v>82</v>
      </c>
      <c r="B68" s="9" t="s">
        <v>1303</v>
      </c>
      <c r="C68" s="9" t="s">
        <v>1304</v>
      </c>
      <c r="D68">
        <v>671.4</v>
      </c>
      <c r="E68">
        <v>5.39</v>
      </c>
    </row>
    <row r="69" spans="1:5">
      <c r="A69" s="9" t="s">
        <v>83</v>
      </c>
      <c r="B69" s="9" t="s">
        <v>1305</v>
      </c>
      <c r="C69" s="9" t="s">
        <v>1306</v>
      </c>
      <c r="D69">
        <v>190.56399999999999</v>
      </c>
      <c r="E69">
        <v>10.139127999999999</v>
      </c>
    </row>
    <row r="70" spans="1:5">
      <c r="A70" s="9" t="s">
        <v>84</v>
      </c>
      <c r="B70" s="9" t="s">
        <v>1268</v>
      </c>
      <c r="C70" s="9" t="s">
        <v>1307</v>
      </c>
      <c r="D70">
        <v>513.38</v>
      </c>
      <c r="E70">
        <v>8.7851700000000008</v>
      </c>
    </row>
    <row r="71" spans="1:5">
      <c r="A71" s="9" t="s">
        <v>85</v>
      </c>
      <c r="B71" s="9" t="s">
        <v>1268</v>
      </c>
      <c r="C71" s="9" t="s">
        <v>1308</v>
      </c>
      <c r="D71">
        <v>799</v>
      </c>
      <c r="E71">
        <v>0.80840000000000001</v>
      </c>
    </row>
    <row r="72" spans="1:5">
      <c r="A72" s="9" t="s">
        <v>86</v>
      </c>
      <c r="B72" s="9" t="s">
        <v>1268</v>
      </c>
      <c r="C72" s="9" t="s">
        <v>1309</v>
      </c>
      <c r="D72">
        <v>772</v>
      </c>
      <c r="E72">
        <v>0.84730000000000005</v>
      </c>
    </row>
    <row r="73" spans="1:5">
      <c r="A73" s="9" t="s">
        <v>87</v>
      </c>
      <c r="B73" s="9" t="s">
        <v>87</v>
      </c>
      <c r="C73" s="9" t="s">
        <v>1448</v>
      </c>
      <c r="D73">
        <v>518.70000000000005</v>
      </c>
      <c r="E73">
        <v>1.653</v>
      </c>
    </row>
    <row r="74" spans="1:5">
      <c r="A74" s="9" t="s">
        <v>88</v>
      </c>
      <c r="B74" s="9" t="s">
        <v>1268</v>
      </c>
      <c r="C74" s="9" t="s">
        <v>1310</v>
      </c>
      <c r="D74">
        <v>782</v>
      </c>
      <c r="E74">
        <v>0.81284999999999996</v>
      </c>
    </row>
    <row r="75" spans="1:5">
      <c r="A75" s="9" t="s">
        <v>89</v>
      </c>
      <c r="B75" s="9" t="s">
        <v>1268</v>
      </c>
      <c r="C75" s="9" t="s">
        <v>1311</v>
      </c>
      <c r="D75">
        <v>755</v>
      </c>
      <c r="E75">
        <v>0.89700000000000002</v>
      </c>
    </row>
    <row r="76" spans="1:5">
      <c r="A76" s="9" t="s">
        <v>90</v>
      </c>
      <c r="B76" s="9" t="s">
        <v>1268</v>
      </c>
      <c r="C76" s="9" t="s">
        <v>1449</v>
      </c>
      <c r="D76">
        <v>775</v>
      </c>
      <c r="E76">
        <v>0.79430000000000001</v>
      </c>
    </row>
    <row r="77" spans="1:5">
      <c r="A77" s="9" t="s">
        <v>91</v>
      </c>
      <c r="B77" s="9" t="s">
        <v>1312</v>
      </c>
      <c r="C77" s="9" t="s">
        <v>1313</v>
      </c>
      <c r="D77">
        <v>616.89</v>
      </c>
      <c r="E77">
        <v>2.665</v>
      </c>
    </row>
    <row r="78" spans="1:5">
      <c r="A78" s="9" t="s">
        <v>92</v>
      </c>
      <c r="B78" s="9" t="s">
        <v>1314</v>
      </c>
      <c r="C78" s="9" t="s">
        <v>1315</v>
      </c>
      <c r="D78">
        <v>309.52</v>
      </c>
      <c r="E78">
        <v>10.290903999999999</v>
      </c>
    </row>
    <row r="79" spans="1:5">
      <c r="A79" s="9" t="s">
        <v>93</v>
      </c>
      <c r="B79" s="9" t="s">
        <v>1316</v>
      </c>
      <c r="C79" s="9" t="s">
        <v>1317</v>
      </c>
      <c r="D79">
        <v>44.4</v>
      </c>
      <c r="E79">
        <v>24.1</v>
      </c>
    </row>
    <row r="80" spans="1:5">
      <c r="A80" s="9" t="s">
        <v>94</v>
      </c>
      <c r="B80" s="9" t="s">
        <v>1318</v>
      </c>
      <c r="C80" s="9" t="s">
        <v>1319</v>
      </c>
      <c r="D80">
        <v>433.74</v>
      </c>
      <c r="E80">
        <v>3.27</v>
      </c>
    </row>
    <row r="81" spans="1:5">
      <c r="A81" s="9" t="s">
        <v>95</v>
      </c>
      <c r="B81" s="9" t="s">
        <v>1320</v>
      </c>
      <c r="C81" s="9" t="s">
        <v>1321</v>
      </c>
      <c r="D81">
        <v>234</v>
      </c>
      <c r="E81">
        <v>7.92</v>
      </c>
    </row>
    <row r="82" spans="1:5">
      <c r="A82" s="9" t="s">
        <v>96</v>
      </c>
      <c r="B82" s="9" t="s">
        <v>1322</v>
      </c>
      <c r="C82" s="9" t="s">
        <v>1323</v>
      </c>
      <c r="D82">
        <v>126.19199999999999</v>
      </c>
      <c r="E82">
        <v>11.1839</v>
      </c>
    </row>
    <row r="83" spans="1:5">
      <c r="A83" s="9" t="s">
        <v>97</v>
      </c>
      <c r="B83" s="9" t="s">
        <v>1324</v>
      </c>
      <c r="C83" s="9" t="s">
        <v>1325</v>
      </c>
      <c r="D83">
        <v>594.54999999999995</v>
      </c>
      <c r="E83">
        <v>1.81</v>
      </c>
    </row>
    <row r="84" spans="1:5">
      <c r="A84" s="9" t="s">
        <v>98</v>
      </c>
      <c r="B84" s="9" t="s">
        <v>1326</v>
      </c>
      <c r="C84" s="9" t="s">
        <v>1327</v>
      </c>
      <c r="D84">
        <v>441.81</v>
      </c>
      <c r="E84">
        <v>1.92</v>
      </c>
    </row>
    <row r="85" spans="1:5">
      <c r="A85" s="9" t="s">
        <v>99</v>
      </c>
      <c r="B85" s="9" t="s">
        <v>1328</v>
      </c>
      <c r="C85" s="9" t="s">
        <v>1329</v>
      </c>
      <c r="D85">
        <v>568.74</v>
      </c>
      <c r="E85">
        <v>2.0310000000000001</v>
      </c>
    </row>
    <row r="86" spans="1:5">
      <c r="A86" s="9" t="s">
        <v>100</v>
      </c>
      <c r="B86" s="9" t="s">
        <v>1285</v>
      </c>
      <c r="C86" s="9" t="s">
        <v>1330</v>
      </c>
      <c r="D86">
        <v>33.22</v>
      </c>
      <c r="E86">
        <v>15.445</v>
      </c>
    </row>
    <row r="87" spans="1:5">
      <c r="A87" s="9" t="s">
        <v>101</v>
      </c>
      <c r="B87" s="9" t="s">
        <v>1331</v>
      </c>
      <c r="C87" s="9" t="s">
        <v>1332</v>
      </c>
      <c r="D87">
        <v>154.59899999999999</v>
      </c>
      <c r="E87">
        <v>13.342188999999999</v>
      </c>
    </row>
    <row r="88" spans="1:5">
      <c r="A88" s="9" t="s">
        <v>102</v>
      </c>
      <c r="B88" s="9" t="s">
        <v>1333</v>
      </c>
      <c r="C88" s="9" t="s">
        <v>1450</v>
      </c>
      <c r="D88">
        <v>630.25900000000001</v>
      </c>
      <c r="E88">
        <v>2.6844999999999999</v>
      </c>
    </row>
    <row r="89" spans="1:5">
      <c r="A89" s="9" t="s">
        <v>103</v>
      </c>
      <c r="B89" s="9" t="s">
        <v>1334</v>
      </c>
      <c r="C89" s="9" t="s">
        <v>1335</v>
      </c>
      <c r="D89">
        <v>32.938000000000002</v>
      </c>
      <c r="E89">
        <v>15.538</v>
      </c>
    </row>
    <row r="90" spans="1:5">
      <c r="A90" s="9" t="s">
        <v>104</v>
      </c>
      <c r="B90" s="9" t="s">
        <v>1336</v>
      </c>
      <c r="C90" s="9" t="s">
        <v>1337</v>
      </c>
      <c r="D90">
        <v>469.7</v>
      </c>
      <c r="E90">
        <v>3.21</v>
      </c>
    </row>
    <row r="91" spans="1:5">
      <c r="A91" s="9" t="s">
        <v>104</v>
      </c>
      <c r="B91" s="9" t="s">
        <v>1336</v>
      </c>
      <c r="C91" s="9" t="s">
        <v>1337</v>
      </c>
      <c r="D91">
        <v>469.65899999999999</v>
      </c>
      <c r="E91">
        <v>3.2599100000000001</v>
      </c>
    </row>
    <row r="92" spans="1:5">
      <c r="A92" s="9" t="s">
        <v>105</v>
      </c>
      <c r="B92" s="9" t="s">
        <v>1338</v>
      </c>
      <c r="C92" s="9" t="s">
        <v>1339</v>
      </c>
      <c r="D92">
        <v>398</v>
      </c>
      <c r="E92">
        <v>5.9</v>
      </c>
    </row>
    <row r="93" spans="1:5">
      <c r="A93" s="9" t="s">
        <v>106</v>
      </c>
      <c r="B93" s="9" t="s">
        <v>1340</v>
      </c>
      <c r="C93" s="9" t="s">
        <v>1341</v>
      </c>
      <c r="D93">
        <v>369.89</v>
      </c>
      <c r="E93">
        <v>5</v>
      </c>
    </row>
    <row r="94" spans="1:5">
      <c r="A94" s="9" t="s">
        <v>107</v>
      </c>
      <c r="B94" s="9" t="s">
        <v>1342</v>
      </c>
      <c r="C94" s="9" t="s">
        <v>1343</v>
      </c>
      <c r="D94">
        <v>364.21100000000001</v>
      </c>
      <c r="E94">
        <v>5.4569999999999999</v>
      </c>
    </row>
    <row r="95" spans="1:5">
      <c r="A95" s="9" t="s">
        <v>108</v>
      </c>
      <c r="B95" s="9" t="s">
        <v>1344</v>
      </c>
      <c r="C95" s="9" t="s">
        <v>1345</v>
      </c>
      <c r="D95">
        <v>488.11</v>
      </c>
      <c r="E95">
        <v>5.1550000000000002</v>
      </c>
    </row>
    <row r="96" spans="1:5">
      <c r="A96" s="9" t="s">
        <v>109</v>
      </c>
      <c r="B96" s="9" t="s">
        <v>1268</v>
      </c>
      <c r="C96" s="9" t="s">
        <v>1346</v>
      </c>
      <c r="D96">
        <v>402.70100000000002</v>
      </c>
      <c r="E96">
        <v>6.2084260000000002</v>
      </c>
    </row>
    <row r="97" spans="1:5">
      <c r="A97" s="9" t="s">
        <v>110</v>
      </c>
      <c r="B97" s="9" t="s">
        <v>1347</v>
      </c>
      <c r="C97" s="9" t="s">
        <v>1348</v>
      </c>
      <c r="D97">
        <v>616.16800000000001</v>
      </c>
      <c r="E97">
        <v>2.6939199999999999</v>
      </c>
    </row>
    <row r="98" spans="1:5">
      <c r="A98" s="9" t="s">
        <v>111</v>
      </c>
      <c r="B98" s="9" t="s">
        <v>1349</v>
      </c>
      <c r="C98" s="9" t="s">
        <v>1350</v>
      </c>
      <c r="D98">
        <v>471.11</v>
      </c>
      <c r="E98">
        <v>4.0329620000000004</v>
      </c>
    </row>
    <row r="99" spans="1:5">
      <c r="A99" s="9" t="s">
        <v>112</v>
      </c>
      <c r="B99" s="9" t="s">
        <v>1351</v>
      </c>
      <c r="C99" s="9" t="s">
        <v>1451</v>
      </c>
      <c r="D99">
        <v>331.73</v>
      </c>
      <c r="E99">
        <v>5.9929920000000001</v>
      </c>
    </row>
    <row r="100" spans="1:5">
      <c r="A100" s="9" t="s">
        <v>113</v>
      </c>
      <c r="B100" s="9" t="s">
        <v>1352</v>
      </c>
      <c r="C100" s="9" t="s">
        <v>1353</v>
      </c>
      <c r="D100">
        <v>487.21</v>
      </c>
      <c r="E100">
        <v>2.9886590000000002</v>
      </c>
    </row>
    <row r="101" spans="1:5">
      <c r="A101" s="9" t="s">
        <v>114</v>
      </c>
      <c r="B101" s="9" t="s">
        <v>1354</v>
      </c>
      <c r="C101" s="9" t="s">
        <v>1355</v>
      </c>
      <c r="D101">
        <v>348.82</v>
      </c>
      <c r="E101">
        <v>6.7929719999999998</v>
      </c>
    </row>
    <row r="102" spans="1:5">
      <c r="A102" s="9" t="s">
        <v>115</v>
      </c>
      <c r="B102" s="9" t="s">
        <v>1356</v>
      </c>
      <c r="C102" s="9" t="s">
        <v>1357</v>
      </c>
      <c r="D102">
        <v>420.608</v>
      </c>
      <c r="E102">
        <v>3.353847</v>
      </c>
    </row>
    <row r="103" spans="1:5">
      <c r="A103" s="9" t="s">
        <v>116</v>
      </c>
      <c r="B103" s="9" t="s">
        <v>1358</v>
      </c>
      <c r="C103" s="9" t="s">
        <v>1359</v>
      </c>
      <c r="D103">
        <v>353.1</v>
      </c>
      <c r="E103">
        <v>3.98</v>
      </c>
    </row>
    <row r="104" spans="1:5">
      <c r="A104" s="9" t="s">
        <v>117</v>
      </c>
      <c r="B104" s="9" t="s">
        <v>1360</v>
      </c>
      <c r="C104" s="9" t="s">
        <v>1452</v>
      </c>
      <c r="D104">
        <v>293.02999999999997</v>
      </c>
      <c r="E104">
        <v>4.444</v>
      </c>
    </row>
    <row r="105" spans="1:5">
      <c r="A105" s="9" t="s">
        <v>118</v>
      </c>
      <c r="B105" s="9" t="s">
        <v>1361</v>
      </c>
      <c r="C105" s="9" t="s">
        <v>1362</v>
      </c>
      <c r="D105">
        <v>385.12</v>
      </c>
      <c r="E105">
        <v>4.6727809999999996</v>
      </c>
    </row>
    <row r="106" spans="1:5">
      <c r="A106" s="9" t="s">
        <v>119</v>
      </c>
      <c r="B106" s="9" t="s">
        <v>1363</v>
      </c>
      <c r="C106" s="9" t="s">
        <v>1364</v>
      </c>
      <c r="D106">
        <v>358.9</v>
      </c>
      <c r="E106">
        <v>3.8887999999999998</v>
      </c>
    </row>
    <row r="107" spans="1:5">
      <c r="A107" s="9" t="s">
        <v>120</v>
      </c>
      <c r="B107" s="9" t="s">
        <v>1365</v>
      </c>
      <c r="C107" s="9" t="s">
        <v>1366</v>
      </c>
      <c r="D107">
        <v>428.69</v>
      </c>
      <c r="E107">
        <v>3.55816</v>
      </c>
    </row>
    <row r="108" spans="1:5">
      <c r="A108" s="9" t="s">
        <v>121</v>
      </c>
      <c r="B108" s="9" t="s">
        <v>1367</v>
      </c>
      <c r="C108" s="9" t="s">
        <v>1368</v>
      </c>
      <c r="D108">
        <v>456.83100000000002</v>
      </c>
      <c r="E108">
        <v>3.5964170000000002</v>
      </c>
    </row>
    <row r="109" spans="1:5">
      <c r="A109" s="9" t="s">
        <v>122</v>
      </c>
      <c r="B109" s="9" t="s">
        <v>1369</v>
      </c>
      <c r="C109" s="9" t="s">
        <v>1370</v>
      </c>
      <c r="D109">
        <v>439.6</v>
      </c>
      <c r="E109">
        <v>3.68</v>
      </c>
    </row>
    <row r="110" spans="1:5">
      <c r="A110" s="9" t="s">
        <v>123</v>
      </c>
      <c r="B110" s="9" t="s">
        <v>1371</v>
      </c>
      <c r="C110" s="9" t="s">
        <v>1372</v>
      </c>
      <c r="D110">
        <v>367.85</v>
      </c>
      <c r="E110">
        <v>4.17</v>
      </c>
    </row>
    <row r="111" spans="1:5">
      <c r="A111" s="9" t="s">
        <v>124</v>
      </c>
      <c r="B111" s="9" t="s">
        <v>1373</v>
      </c>
      <c r="C111" s="9" t="s">
        <v>1374</v>
      </c>
      <c r="D111">
        <v>382.51299999999998</v>
      </c>
      <c r="E111">
        <v>4.29</v>
      </c>
    </row>
    <row r="112" spans="1:5">
      <c r="A112" s="9" t="s">
        <v>125</v>
      </c>
      <c r="B112" s="9" t="s">
        <v>1375</v>
      </c>
      <c r="C112" s="9" t="s">
        <v>1376</v>
      </c>
      <c r="D112">
        <v>423.27</v>
      </c>
      <c r="E112">
        <v>4</v>
      </c>
    </row>
    <row r="113" spans="1:5">
      <c r="A113" s="9" t="s">
        <v>126</v>
      </c>
      <c r="B113" s="9" t="s">
        <v>1377</v>
      </c>
      <c r="C113" s="9" t="s">
        <v>1453</v>
      </c>
      <c r="D113">
        <v>395.42500000000001</v>
      </c>
      <c r="E113">
        <v>4.0981360000000002</v>
      </c>
    </row>
    <row r="114" spans="1:5">
      <c r="A114" s="9" t="s">
        <v>127</v>
      </c>
      <c r="B114" s="9" t="s">
        <v>1378</v>
      </c>
      <c r="C114" s="9" t="s">
        <v>1454</v>
      </c>
      <c r="D114">
        <v>376.93</v>
      </c>
      <c r="E114">
        <v>4.3</v>
      </c>
    </row>
    <row r="115" spans="1:5">
      <c r="A115" s="9" t="s">
        <v>128</v>
      </c>
      <c r="B115" s="9" t="s">
        <v>1379</v>
      </c>
      <c r="C115" s="9" t="s">
        <v>1380</v>
      </c>
      <c r="D115">
        <v>339.173</v>
      </c>
      <c r="E115">
        <v>4.7789999999999999</v>
      </c>
    </row>
    <row r="116" spans="1:5">
      <c r="A116" s="9" t="s">
        <v>129</v>
      </c>
      <c r="B116" s="9" t="s">
        <v>1381</v>
      </c>
      <c r="C116" s="9" t="s">
        <v>1382</v>
      </c>
      <c r="D116">
        <v>302</v>
      </c>
      <c r="E116">
        <v>5.58</v>
      </c>
    </row>
    <row r="117" spans="1:5">
      <c r="A117" s="9" t="s">
        <v>130</v>
      </c>
      <c r="B117" s="9" t="s">
        <v>1383</v>
      </c>
      <c r="C117" s="9" t="s">
        <v>1384</v>
      </c>
      <c r="D117">
        <v>444.5</v>
      </c>
      <c r="E117">
        <v>3.044</v>
      </c>
    </row>
    <row r="118" spans="1:5">
      <c r="A118" s="9" t="s">
        <v>131</v>
      </c>
      <c r="B118" s="9" t="s">
        <v>1385</v>
      </c>
      <c r="C118" s="9" t="s">
        <v>1386</v>
      </c>
      <c r="D118">
        <v>374.18</v>
      </c>
      <c r="E118">
        <v>5.0170529999999998</v>
      </c>
    </row>
    <row r="119" spans="1:5">
      <c r="A119" s="9" t="s">
        <v>132</v>
      </c>
      <c r="B119" s="9" t="s">
        <v>1387</v>
      </c>
      <c r="C119" s="9" t="s">
        <v>1388</v>
      </c>
      <c r="D119">
        <v>227.39599999999999</v>
      </c>
      <c r="E119">
        <v>7.1244550000000002</v>
      </c>
    </row>
    <row r="120" spans="1:5">
      <c r="A120" s="9" t="s">
        <v>133</v>
      </c>
      <c r="B120" s="9" t="s">
        <v>1389</v>
      </c>
      <c r="C120" s="9" t="s">
        <v>1390</v>
      </c>
      <c r="D120">
        <v>477.5</v>
      </c>
      <c r="E120">
        <v>3.9209999999999998</v>
      </c>
    </row>
    <row r="121" spans="1:5">
      <c r="A121" s="9" t="s">
        <v>134</v>
      </c>
      <c r="B121" s="9" t="s">
        <v>1391</v>
      </c>
      <c r="C121" s="9" t="s">
        <v>1392</v>
      </c>
      <c r="D121">
        <v>410.26</v>
      </c>
      <c r="E121">
        <v>4.4379999999999997</v>
      </c>
    </row>
    <row r="122" spans="1:5">
      <c r="A122" s="9" t="s">
        <v>135</v>
      </c>
      <c r="B122" s="9" t="s">
        <v>1393</v>
      </c>
      <c r="C122" s="9" t="s">
        <v>1394</v>
      </c>
      <c r="D122">
        <v>345.85700000000003</v>
      </c>
      <c r="E122">
        <v>5.12845</v>
      </c>
    </row>
    <row r="123" spans="1:5">
      <c r="A123" s="9" t="s">
        <v>136</v>
      </c>
      <c r="B123" s="9" t="s">
        <v>1395</v>
      </c>
      <c r="C123" s="9" t="s">
        <v>1396</v>
      </c>
      <c r="D123">
        <v>561.58000000000004</v>
      </c>
      <c r="E123">
        <v>4.33</v>
      </c>
    </row>
    <row r="124" spans="1:5">
      <c r="A124" s="9" t="s">
        <v>137</v>
      </c>
      <c r="B124" s="9" t="s">
        <v>1397</v>
      </c>
      <c r="C124" s="9" t="s">
        <v>1398</v>
      </c>
      <c r="D124">
        <v>386.411</v>
      </c>
      <c r="E124">
        <v>5.5714499999999996</v>
      </c>
    </row>
    <row r="125" spans="1:5">
      <c r="A125" s="9" t="s">
        <v>138</v>
      </c>
      <c r="B125" s="9" t="s">
        <v>1257</v>
      </c>
      <c r="C125" s="9" t="s">
        <v>1399</v>
      </c>
      <c r="D125">
        <v>375.25</v>
      </c>
      <c r="E125">
        <v>6.2839</v>
      </c>
    </row>
    <row r="126" spans="1:5">
      <c r="A126" s="9" t="s">
        <v>139</v>
      </c>
      <c r="B126" s="9" t="s">
        <v>1400</v>
      </c>
      <c r="C126" s="9" t="s">
        <v>1401</v>
      </c>
      <c r="D126">
        <v>452.72</v>
      </c>
      <c r="E126">
        <v>5.0795589999999997</v>
      </c>
    </row>
    <row r="127" spans="1:5">
      <c r="A127" s="9" t="s">
        <v>140</v>
      </c>
      <c r="B127" s="9" t="s">
        <v>1402</v>
      </c>
      <c r="C127" s="9" t="s">
        <v>1403</v>
      </c>
      <c r="D127">
        <v>345.02</v>
      </c>
      <c r="E127">
        <v>3.34</v>
      </c>
    </row>
    <row r="128" spans="1:5">
      <c r="A128" s="9" t="s">
        <v>141</v>
      </c>
      <c r="B128" s="9" t="s">
        <v>1404</v>
      </c>
      <c r="C128" s="9" t="s">
        <v>1455</v>
      </c>
      <c r="D128">
        <v>369.29500000000002</v>
      </c>
      <c r="E128">
        <v>6.0582200000000004</v>
      </c>
    </row>
    <row r="129" spans="1:5">
      <c r="A129" s="9" t="s">
        <v>142</v>
      </c>
      <c r="B129" s="9" t="s">
        <v>1405</v>
      </c>
      <c r="C129" s="9" t="s">
        <v>1406</v>
      </c>
      <c r="D129">
        <v>374.9</v>
      </c>
      <c r="E129">
        <v>3.4950000000000001</v>
      </c>
    </row>
    <row r="130" spans="1:5">
      <c r="A130" s="9" t="s">
        <v>143</v>
      </c>
      <c r="B130" s="9" t="s">
        <v>1407</v>
      </c>
      <c r="C130" s="9" t="s">
        <v>1408</v>
      </c>
      <c r="D130">
        <v>299.29300000000001</v>
      </c>
      <c r="E130">
        <v>7.52</v>
      </c>
    </row>
    <row r="131" spans="1:5">
      <c r="A131" s="9" t="s">
        <v>144</v>
      </c>
      <c r="B131" s="9" t="s">
        <v>1409</v>
      </c>
      <c r="C131" s="9" t="s">
        <v>1410</v>
      </c>
      <c r="D131">
        <v>412.40899999999999</v>
      </c>
      <c r="E131">
        <v>3.7478229999999999</v>
      </c>
    </row>
    <row r="132" spans="1:5">
      <c r="A132" s="9" t="s">
        <v>145</v>
      </c>
      <c r="B132" s="9" t="s">
        <v>1411</v>
      </c>
      <c r="C132" s="9" t="s">
        <v>1412</v>
      </c>
      <c r="D132">
        <v>398.07</v>
      </c>
      <c r="E132">
        <v>3.6259999999999999</v>
      </c>
    </row>
    <row r="133" spans="1:5">
      <c r="A133" s="9" t="s">
        <v>146</v>
      </c>
      <c r="B133" s="9" t="s">
        <v>1413</v>
      </c>
      <c r="C133" s="9" t="s">
        <v>1414</v>
      </c>
      <c r="D133">
        <v>447.57</v>
      </c>
      <c r="E133">
        <v>3.92</v>
      </c>
    </row>
    <row r="134" spans="1:5">
      <c r="A134" s="9" t="s">
        <v>147</v>
      </c>
      <c r="B134" s="9" t="s">
        <v>1415</v>
      </c>
      <c r="C134" s="9" t="s">
        <v>1416</v>
      </c>
      <c r="D134">
        <v>427.01</v>
      </c>
      <c r="E134">
        <v>3.875</v>
      </c>
    </row>
    <row r="135" spans="1:5">
      <c r="A135" s="9" t="s">
        <v>0</v>
      </c>
      <c r="B135" s="9" t="s">
        <v>1417</v>
      </c>
      <c r="C135" s="9" t="s">
        <v>1418</v>
      </c>
      <c r="D135">
        <v>351.255</v>
      </c>
      <c r="E135">
        <v>8.1500845999999996</v>
      </c>
    </row>
    <row r="136" spans="1:5">
      <c r="A136" s="9" t="s">
        <v>148</v>
      </c>
      <c r="B136" s="9" t="s">
        <v>1419</v>
      </c>
      <c r="C136" s="9" t="s">
        <v>1420</v>
      </c>
      <c r="D136">
        <v>460</v>
      </c>
      <c r="E136">
        <v>3.2</v>
      </c>
    </row>
    <row r="137" spans="1:5">
      <c r="A137" s="9" t="s">
        <v>149</v>
      </c>
      <c r="B137" s="9" t="s">
        <v>1268</v>
      </c>
      <c r="C137" s="9" t="s">
        <v>1421</v>
      </c>
      <c r="D137">
        <v>418.62599999999998</v>
      </c>
      <c r="E137">
        <v>6.7676309999999997</v>
      </c>
    </row>
    <row r="138" spans="1:5">
      <c r="A138" s="9" t="s">
        <v>150</v>
      </c>
      <c r="B138" s="9" t="s">
        <v>1422</v>
      </c>
      <c r="C138" s="9" t="s">
        <v>1423</v>
      </c>
      <c r="D138">
        <v>317.27999999999997</v>
      </c>
      <c r="E138">
        <v>9.3000000000000007</v>
      </c>
    </row>
    <row r="139" spans="1:5">
      <c r="A139" s="9" t="s">
        <v>151</v>
      </c>
      <c r="B139" s="9" t="s">
        <v>1424</v>
      </c>
      <c r="C139" s="9" t="s">
        <v>1425</v>
      </c>
      <c r="D139">
        <v>388.37099999999998</v>
      </c>
      <c r="E139">
        <v>3.09938</v>
      </c>
    </row>
    <row r="140" spans="1:5">
      <c r="A140" s="9" t="s">
        <v>152</v>
      </c>
      <c r="B140" s="9" t="s">
        <v>1426</v>
      </c>
      <c r="C140" s="9" t="s">
        <v>1427</v>
      </c>
      <c r="D140">
        <v>377.92099999999999</v>
      </c>
      <c r="E140">
        <v>4.648140744</v>
      </c>
    </row>
    <row r="141" spans="1:5">
      <c r="A141" s="9" t="s">
        <v>153</v>
      </c>
      <c r="B141" s="9" t="s">
        <v>1428</v>
      </c>
      <c r="C141" s="9" t="s">
        <v>1429</v>
      </c>
      <c r="D141">
        <v>406.81299999999999</v>
      </c>
      <c r="E141">
        <v>3.3290000000000002</v>
      </c>
    </row>
    <row r="142" spans="1:5">
      <c r="A142" s="9" t="s">
        <v>154</v>
      </c>
      <c r="B142" s="9" t="s">
        <v>1430</v>
      </c>
      <c r="C142" s="9" t="s">
        <v>1431</v>
      </c>
      <c r="D142">
        <v>444.88</v>
      </c>
      <c r="E142">
        <v>3.432258</v>
      </c>
    </row>
    <row r="143" spans="1:5">
      <c r="A143" s="9" t="s">
        <v>155</v>
      </c>
      <c r="B143" s="9" t="s">
        <v>1432</v>
      </c>
      <c r="C143" s="9" t="s">
        <v>1433</v>
      </c>
      <c r="D143">
        <v>437.7</v>
      </c>
      <c r="E143">
        <v>2.64</v>
      </c>
    </row>
    <row r="144" spans="1:5">
      <c r="A144" s="9" t="s">
        <v>156</v>
      </c>
      <c r="B144" s="9" t="s">
        <v>1434</v>
      </c>
      <c r="C144" s="9" t="s">
        <v>1435</v>
      </c>
      <c r="D144">
        <v>318.72320000000002</v>
      </c>
      <c r="E144">
        <v>5.0823174112</v>
      </c>
    </row>
    <row r="145" spans="1:5">
      <c r="A145" s="9" t="s">
        <v>157</v>
      </c>
      <c r="B145" s="9" t="s">
        <v>1436</v>
      </c>
      <c r="C145" s="9" t="s">
        <v>1437</v>
      </c>
      <c r="D145">
        <v>430.64</v>
      </c>
      <c r="E145">
        <v>8.0779999999999994</v>
      </c>
    </row>
    <row r="146" spans="1:5">
      <c r="A146" s="9" t="s">
        <v>158</v>
      </c>
      <c r="B146" s="9" t="s">
        <v>1438</v>
      </c>
      <c r="C146" s="9" t="s">
        <v>1439</v>
      </c>
      <c r="D146">
        <v>428.61</v>
      </c>
      <c r="E146">
        <v>4.2130000000000001</v>
      </c>
    </row>
    <row r="147" spans="1:5">
      <c r="A147" s="9" t="s">
        <v>159</v>
      </c>
      <c r="B147" s="9" t="s">
        <v>1177</v>
      </c>
      <c r="C147" s="9" t="s">
        <v>1440</v>
      </c>
      <c r="D147">
        <v>591.75</v>
      </c>
      <c r="E147">
        <v>3.169</v>
      </c>
    </row>
    <row r="148" spans="1:5">
      <c r="A148" s="9" t="s">
        <v>160</v>
      </c>
      <c r="B148" s="9" t="s">
        <v>1441</v>
      </c>
      <c r="C148" s="9" t="s">
        <v>1442</v>
      </c>
      <c r="D148">
        <v>424.964</v>
      </c>
      <c r="E148">
        <v>5.62</v>
      </c>
    </row>
    <row r="149" spans="1:5">
      <c r="A149" s="9" t="s">
        <v>161</v>
      </c>
      <c r="B149" s="9" t="s">
        <v>1443</v>
      </c>
      <c r="C149" s="9" t="s">
        <v>1444</v>
      </c>
      <c r="D149">
        <v>647.096</v>
      </c>
      <c r="E149">
        <v>17.873727995599999</v>
      </c>
    </row>
    <row r="150" spans="1:5">
      <c r="A150" s="9" t="s">
        <v>162</v>
      </c>
      <c r="B150" s="9" t="s">
        <v>1178</v>
      </c>
      <c r="C150" s="9" t="s">
        <v>1445</v>
      </c>
      <c r="D150">
        <v>289.733</v>
      </c>
      <c r="E150">
        <v>8.4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9D99F-BA7F-4726-97AA-78AB59BEC3BF}">
  <sheetPr codeName="Sheet1"/>
  <dimension ref="A1:I16"/>
  <sheetViews>
    <sheetView zoomScale="116" zoomScaleNormal="130" workbookViewId="0">
      <selection activeCell="T23" sqref="T23"/>
    </sheetView>
  </sheetViews>
  <sheetFormatPr baseColWidth="10" defaultColWidth="8.6640625" defaultRowHeight="14"/>
  <cols>
    <col min="1" max="16384" width="8.6640625" style="1"/>
  </cols>
  <sheetData>
    <row r="1" spans="1:9">
      <c r="C1" s="1" t="s">
        <v>2</v>
      </c>
      <c r="D1" s="1" t="s">
        <v>3</v>
      </c>
      <c r="F1" s="1" t="s">
        <v>6</v>
      </c>
      <c r="G1" s="1" t="s">
        <v>7</v>
      </c>
      <c r="H1" s="1" t="s">
        <v>8</v>
      </c>
      <c r="I1" s="1" t="s">
        <v>9</v>
      </c>
    </row>
    <row r="2" spans="1:9">
      <c r="A2" s="1" t="s">
        <v>4</v>
      </c>
      <c r="B2" s="1" t="s">
        <v>0</v>
      </c>
      <c r="C2" s="2">
        <v>351.255</v>
      </c>
      <c r="D2" s="1">
        <v>8.15</v>
      </c>
      <c r="F2" s="1">
        <v>1</v>
      </c>
      <c r="G2" s="1">
        <v>1</v>
      </c>
      <c r="H2" s="1">
        <v>1</v>
      </c>
      <c r="I2" s="1">
        <v>1</v>
      </c>
    </row>
    <row r="3" spans="1:9">
      <c r="A3" s="1" t="s">
        <v>5</v>
      </c>
      <c r="B3" s="1" t="s">
        <v>1</v>
      </c>
      <c r="C3" s="1">
        <v>367.85</v>
      </c>
      <c r="D3" s="1">
        <v>4.18</v>
      </c>
    </row>
    <row r="5" spans="1:9">
      <c r="A5" s="1">
        <v>12</v>
      </c>
      <c r="C5" s="1">
        <f>SQRT(C2*C3)</f>
        <v>359.45674531158824</v>
      </c>
      <c r="D5" s="1">
        <f>1/(0.125*(1/D2^(1/3)+1/D3^(1/3))^3)</f>
        <v>5.729489652488267</v>
      </c>
      <c r="F5" s="1" t="s">
        <v>10</v>
      </c>
      <c r="G5" s="1" t="s">
        <v>11</v>
      </c>
      <c r="H5" s="1" t="s">
        <v>12</v>
      </c>
      <c r="I5" s="1" t="s">
        <v>13</v>
      </c>
    </row>
    <row r="6" spans="1:9">
      <c r="F6" s="1">
        <v>0</v>
      </c>
      <c r="G6" s="1">
        <f>1-F6</f>
        <v>1</v>
      </c>
      <c r="H6" s="3">
        <f>F6^2*$C$2+G6^2*$C$3+2*$F$2*$G$2*((F6*G6)/(($F$2^2-1)*F6+1))*$C$5</f>
        <v>367.85</v>
      </c>
      <c r="I6" s="3">
        <f>1/(F6^2/$D$2+G6^2/$D$3+2*$H$2*$I$2*((F6*G6)/(($H$2^2-1)*F6+1))*(1/$D$5))</f>
        <v>4.18</v>
      </c>
    </row>
    <row r="7" spans="1:9">
      <c r="F7" s="1">
        <v>0.1</v>
      </c>
      <c r="G7" s="1">
        <f t="shared" ref="G7:G16" si="0">1-F7</f>
        <v>0.9</v>
      </c>
      <c r="H7" s="3">
        <f t="shared" ref="H7:H16" si="1">F7^2*$C$2+G7^2*$C$3+2*$F$2*$G$2*((F7*G7)/(($F$2^2-1)*F7+1))*$C$5</f>
        <v>366.17326415608591</v>
      </c>
      <c r="I7" s="3">
        <f t="shared" ref="I7:I16" si="2">1/(F7^2/$D$2+G7^2/$D$3+2*$H$2*$I$2*((F7*G7)/(($H$2^2-1)*F7+1))*(1/$D$5))</f>
        <v>4.4165064321496148</v>
      </c>
    </row>
    <row r="8" spans="1:9">
      <c r="F8" s="1">
        <v>0.2</v>
      </c>
      <c r="G8" s="1">
        <f t="shared" si="0"/>
        <v>0.8</v>
      </c>
      <c r="H8" s="3">
        <f t="shared" si="1"/>
        <v>364.50035849970834</v>
      </c>
      <c r="I8" s="3">
        <f t="shared" si="2"/>
        <v>4.6757502757262523</v>
      </c>
    </row>
    <row r="9" spans="1:9">
      <c r="F9" s="1">
        <v>0.3</v>
      </c>
      <c r="G9" s="1">
        <f t="shared" si="0"/>
        <v>0.7</v>
      </c>
      <c r="H9" s="3">
        <f t="shared" si="1"/>
        <v>362.83128303086704</v>
      </c>
      <c r="I9" s="3">
        <f t="shared" si="2"/>
        <v>4.9609872069208647</v>
      </c>
    </row>
    <row r="10" spans="1:9">
      <c r="F10" s="1">
        <v>0.4</v>
      </c>
      <c r="G10" s="1">
        <f t="shared" si="0"/>
        <v>0.6</v>
      </c>
      <c r="H10" s="3">
        <f t="shared" si="1"/>
        <v>361.16603774956241</v>
      </c>
      <c r="I10" s="3">
        <f t="shared" si="2"/>
        <v>5.2761149516430832</v>
      </c>
    </row>
    <row r="11" spans="1:9">
      <c r="F11" s="1">
        <v>0.5</v>
      </c>
      <c r="G11" s="1">
        <f t="shared" si="0"/>
        <v>0.5</v>
      </c>
      <c r="H11" s="3">
        <f t="shared" si="1"/>
        <v>359.50462265579415</v>
      </c>
      <c r="I11" s="3">
        <f t="shared" si="2"/>
        <v>5.6258389567891642</v>
      </c>
    </row>
    <row r="12" spans="1:9">
      <c r="F12" s="1">
        <v>0.6</v>
      </c>
      <c r="G12" s="1">
        <f t="shared" si="0"/>
        <v>0.4</v>
      </c>
      <c r="H12" s="3">
        <f t="shared" si="1"/>
        <v>357.84703774956233</v>
      </c>
      <c r="I12" s="3">
        <f t="shared" si="2"/>
        <v>6.0158920753131611</v>
      </c>
    </row>
    <row r="13" spans="1:9">
      <c r="F13" s="1">
        <v>0.7</v>
      </c>
      <c r="G13" s="1">
        <f t="shared" si="0"/>
        <v>0.30000000000000004</v>
      </c>
      <c r="H13" s="3">
        <f t="shared" si="1"/>
        <v>356.19328303086706</v>
      </c>
      <c r="I13" s="3">
        <f t="shared" si="2"/>
        <v>6.4533299821516499</v>
      </c>
    </row>
    <row r="14" spans="1:9">
      <c r="F14" s="1">
        <v>0.8</v>
      </c>
      <c r="G14" s="1">
        <f t="shared" si="0"/>
        <v>0.19999999999999996</v>
      </c>
      <c r="H14" s="3">
        <f t="shared" si="1"/>
        <v>354.54335849970823</v>
      </c>
      <c r="I14" s="3">
        <f t="shared" si="2"/>
        <v>6.9469346240585175</v>
      </c>
    </row>
    <row r="15" spans="1:9">
      <c r="F15" s="1">
        <v>0.9</v>
      </c>
      <c r="G15" s="1">
        <f t="shared" si="0"/>
        <v>9.9999999999999978E-2</v>
      </c>
      <c r="H15" s="3">
        <f t="shared" si="1"/>
        <v>352.89726415608584</v>
      </c>
      <c r="I15" s="3">
        <f t="shared" si="2"/>
        <v>7.5077747740926206</v>
      </c>
    </row>
    <row r="16" spans="1:9">
      <c r="F16" s="1">
        <v>1</v>
      </c>
      <c r="G16" s="1">
        <f t="shared" si="0"/>
        <v>0</v>
      </c>
      <c r="H16" s="3">
        <f t="shared" si="1"/>
        <v>351.255</v>
      </c>
      <c r="I16" s="3">
        <f t="shared" si="2"/>
        <v>8.15</v>
      </c>
    </row>
  </sheetData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KW0</vt:lpstr>
      <vt:lpstr>calculation</vt:lpstr>
      <vt:lpstr>FLD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赤坂　亮</dc:creator>
  <cp:lastModifiedBy>Navin Rajapriya</cp:lastModifiedBy>
  <dcterms:created xsi:type="dcterms:W3CDTF">2024-07-26T00:26:23Z</dcterms:created>
  <dcterms:modified xsi:type="dcterms:W3CDTF">2025-04-01T07:56:17Z</dcterms:modified>
</cp:coreProperties>
</file>