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navin/Library/CloudStorage/Dropbox-AIZOTH/研究/Navin/NEDO/REFPROP_Material property/deepset-bi-mixtures/src/calculation/"/>
    </mc:Choice>
  </mc:AlternateContent>
  <xr:revisionPtr revIDLastSave="0" documentId="13_ncr:1_{2FFD3D99-FF81-0946-ACD1-33303F46C5A0}" xr6:coauthVersionLast="47" xr6:coauthVersionMax="47" xr10:uidLastSave="{00000000-0000-0000-0000-000000000000}"/>
  <bookViews>
    <workbookView xWindow="8500" yWindow="500" windowWidth="34200" windowHeight="19840" xr2:uid="{7BB0791F-EBFA-494F-BEB5-8A2DF744B318}"/>
  </bookViews>
  <sheets>
    <sheet name="Crit. Param." sheetId="1" r:id="rId1"/>
    <sheet name="GammaT" sheetId="2" r:id="rId2"/>
    <sheet name="Result" sheetId="6" r:id="rId3"/>
    <sheet name="Tred" sheetId="7" r:id="rId4"/>
  </sheets>
  <externalReferences>
    <externalReference r:id="rId5"/>
  </externalReferences>
  <definedNames>
    <definedName name="_xleta.SQR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6" l="1"/>
  <c r="B14" i="2"/>
  <c r="G11" i="6"/>
  <c r="G12" i="6"/>
  <c r="G13" i="6"/>
  <c r="G10" i="6"/>
  <c r="F11" i="6"/>
  <c r="F12" i="6"/>
  <c r="F10" i="6"/>
  <c r="E9" i="2"/>
  <c r="E10" i="2"/>
  <c r="C21" i="2"/>
  <c r="C22" i="2"/>
  <c r="C23" i="2"/>
  <c r="C24" i="2"/>
  <c r="C25" i="2"/>
  <c r="C26" i="2"/>
  <c r="C27" i="2"/>
  <c r="C28" i="2"/>
  <c r="C29" i="2"/>
  <c r="C30" i="2"/>
  <c r="C20" i="2"/>
  <c r="G16" i="7"/>
  <c r="I16" i="7" s="1"/>
  <c r="G15" i="7"/>
  <c r="I15" i="7" s="1"/>
  <c r="I14" i="7"/>
  <c r="G14" i="7"/>
  <c r="G13" i="7"/>
  <c r="I13" i="7" s="1"/>
  <c r="G12" i="7"/>
  <c r="I12" i="7" s="1"/>
  <c r="I11" i="7"/>
  <c r="G11" i="7"/>
  <c r="G10" i="7"/>
  <c r="G9" i="7"/>
  <c r="I9" i="7" s="1"/>
  <c r="G8" i="7"/>
  <c r="I8" i="7" s="1"/>
  <c r="G7" i="7"/>
  <c r="I7" i="7" s="1"/>
  <c r="I6" i="7"/>
  <c r="G6" i="7"/>
  <c r="D5" i="7"/>
  <c r="C5" i="7"/>
  <c r="H11" i="7" l="1"/>
  <c r="D27" i="2"/>
  <c r="D20" i="2"/>
  <c r="D30" i="2"/>
  <c r="D23" i="2"/>
  <c r="H10" i="7"/>
  <c r="H6" i="7"/>
  <c r="H14" i="7"/>
  <c r="D29" i="2"/>
  <c r="D22" i="2"/>
  <c r="D21" i="2"/>
  <c r="D28" i="2"/>
  <c r="D25" i="2"/>
  <c r="D24" i="2"/>
  <c r="D26" i="2"/>
  <c r="B15" i="2"/>
  <c r="I10" i="7"/>
  <c r="H13" i="7"/>
  <c r="H9" i="7"/>
  <c r="H8" i="7"/>
  <c r="H16" i="7"/>
  <c r="H12" i="7"/>
  <c r="H7" i="7"/>
  <c r="H15" i="7"/>
</calcChain>
</file>

<file path=xl/sharedStrings.xml><?xml version="1.0" encoding="utf-8"?>
<sst xmlns="http://schemas.openxmlformats.org/spreadsheetml/2006/main" count="404" uniqueCount="362">
  <si>
    <t>File name</t>
  </si>
  <si>
    <t>Short name</t>
  </si>
  <si>
    <t>Critical temperature</t>
  </si>
  <si>
    <t>Critical pressure</t>
  </si>
  <si>
    <t>Acentric factor</t>
  </si>
  <si>
    <t>Dipole moment</t>
  </si>
  <si>
    <t>13BUTADIENE.FLD</t>
  </si>
  <si>
    <t>1,3-Butadiene</t>
  </si>
  <si>
    <t>1BUTENE.FLD</t>
  </si>
  <si>
    <t>Butene</t>
  </si>
  <si>
    <t>1BUTYNE.FLD</t>
  </si>
  <si>
    <t>1-Butyne</t>
  </si>
  <si>
    <t>1PENTENE.FLD</t>
  </si>
  <si>
    <t>1-Pentene</t>
  </si>
  <si>
    <t>22DIMETHYLBUTANE.FLD</t>
  </si>
  <si>
    <t>2,2-Dimethylbutane</t>
  </si>
  <si>
    <t>23DIMETHYLBUTANE.FLD</t>
  </si>
  <si>
    <t>2,3-Dimethylbutane</t>
  </si>
  <si>
    <t>3METHYLPENTANE.FLD</t>
  </si>
  <si>
    <t>3-Methylpentane</t>
  </si>
  <si>
    <t>ACETONE.FLD</t>
  </si>
  <si>
    <t>Acetone</t>
  </si>
  <si>
    <t>ACETYLENE.FLD</t>
  </si>
  <si>
    <t>Acetylene</t>
  </si>
  <si>
    <t>AMMONIA.FLD</t>
  </si>
  <si>
    <t>Ammonia</t>
  </si>
  <si>
    <t>ARGON.FLD</t>
  </si>
  <si>
    <t>Argon</t>
  </si>
  <si>
    <t>BENZENE.FLD</t>
  </si>
  <si>
    <t>Benzene</t>
  </si>
  <si>
    <t>BUTANE.FLD</t>
  </si>
  <si>
    <t>Butane</t>
  </si>
  <si>
    <t>C11.FLD</t>
  </si>
  <si>
    <t>Undecane</t>
  </si>
  <si>
    <t>C12.FLD</t>
  </si>
  <si>
    <t>Dodecane</t>
  </si>
  <si>
    <t>C16.FLD</t>
  </si>
  <si>
    <t>Hexadecane</t>
  </si>
  <si>
    <t>C1CC6.FLD</t>
  </si>
  <si>
    <t>Methylcyclohexane</t>
  </si>
  <si>
    <t>C22.FLD</t>
  </si>
  <si>
    <t>Docosane</t>
  </si>
  <si>
    <t>C2BUTENE.FLD</t>
  </si>
  <si>
    <t>cis-Butene</t>
  </si>
  <si>
    <t>C3CC6.FLD</t>
  </si>
  <si>
    <t>Propylcyclohexane</t>
  </si>
  <si>
    <t>C4F10.FLD</t>
  </si>
  <si>
    <t>Perfluorobutane</t>
  </si>
  <si>
    <t>C5F12.FLD</t>
  </si>
  <si>
    <t>Perfluoropentane</t>
  </si>
  <si>
    <t>C6F14.FLD</t>
  </si>
  <si>
    <t>Perfluorohexane</t>
  </si>
  <si>
    <t>CF3I.FLD</t>
  </si>
  <si>
    <t>R13I1</t>
  </si>
  <si>
    <t>CHLORINE.FLD</t>
  </si>
  <si>
    <t>Chlorine</t>
  </si>
  <si>
    <t>CHLOROBENZENE.FLD</t>
  </si>
  <si>
    <t>Chlorobenzene</t>
  </si>
  <si>
    <t>CO.FLD</t>
  </si>
  <si>
    <t>Carbon monoxide</t>
  </si>
  <si>
    <t>CO2.FLD</t>
  </si>
  <si>
    <t>Carbon dioxide</t>
  </si>
  <si>
    <t>COS.FLD</t>
  </si>
  <si>
    <t>Carbonyl sulfide</t>
  </si>
  <si>
    <t>CYCLOBUTENE.FLD</t>
  </si>
  <si>
    <t>Cyclobutene</t>
  </si>
  <si>
    <t>CYCLOHEX.FLD</t>
  </si>
  <si>
    <t>Cyclohexane</t>
  </si>
  <si>
    <t>CYCLOPEN.FLD</t>
  </si>
  <si>
    <t>Cyclopentane</t>
  </si>
  <si>
    <t>CYCLOPRO.FLD</t>
  </si>
  <si>
    <t>Cyclopropane</t>
  </si>
  <si>
    <t>D2.FLD</t>
  </si>
  <si>
    <t>Deuterium</t>
  </si>
  <si>
    <t>D2O.FLD</t>
  </si>
  <si>
    <t>Heavy water</t>
  </si>
  <si>
    <t>D4.FLD</t>
  </si>
  <si>
    <t>D4</t>
  </si>
  <si>
    <t>D5.FLD</t>
  </si>
  <si>
    <t>D5</t>
  </si>
  <si>
    <t>D6.FLD</t>
  </si>
  <si>
    <t>D6</t>
  </si>
  <si>
    <t>DEA.FLD</t>
  </si>
  <si>
    <t>Diethanolamine</t>
  </si>
  <si>
    <t>DECANE.FLD</t>
  </si>
  <si>
    <t>Decane</t>
  </si>
  <si>
    <t>DEE.FLD</t>
  </si>
  <si>
    <t>Diethyl ether</t>
  </si>
  <si>
    <t>DMC.FLD</t>
  </si>
  <si>
    <t>Dimethyl carbonate</t>
  </si>
  <si>
    <t>DME.FLD</t>
  </si>
  <si>
    <t>Dimethyl ether</t>
  </si>
  <si>
    <t>EBENZENE.FLD</t>
  </si>
  <si>
    <t>Ethylbenzene</t>
  </si>
  <si>
    <t>EGLYCOL.FLD</t>
  </si>
  <si>
    <t>Ethylene glycol</t>
  </si>
  <si>
    <t>ETHANE.FLD</t>
  </si>
  <si>
    <t>Ethane</t>
  </si>
  <si>
    <t>ETHANOL.FLD</t>
  </si>
  <si>
    <t>Ethanol</t>
  </si>
  <si>
    <t>ETHYLENE.FLD</t>
  </si>
  <si>
    <t>Ethylene</t>
  </si>
  <si>
    <t>ETHYLENEOXIDE.FLD</t>
  </si>
  <si>
    <t>Ethylene oxide</t>
  </si>
  <si>
    <t>FLUORINE.FLD</t>
  </si>
  <si>
    <t>Fluorine</t>
  </si>
  <si>
    <t>H2S.FLD</t>
  </si>
  <si>
    <t>Hydrogen sulfide</t>
  </si>
  <si>
    <t>HCL.FLD</t>
  </si>
  <si>
    <t>Hydrogen chloride</t>
  </si>
  <si>
    <t>HELIUM.FLD</t>
  </si>
  <si>
    <t>Helium</t>
  </si>
  <si>
    <t>HEPTANE.FLD</t>
  </si>
  <si>
    <t>Heptane</t>
  </si>
  <si>
    <t>HEXANE.FLD</t>
  </si>
  <si>
    <t>Hexane</t>
  </si>
  <si>
    <t>HYDROGEN.FLD</t>
  </si>
  <si>
    <t>Hydrogen (normal)</t>
  </si>
  <si>
    <t>IBUTENE.FLD</t>
  </si>
  <si>
    <t>Isobutene</t>
  </si>
  <si>
    <t>IHEXANE.FLD</t>
  </si>
  <si>
    <t>Isohexane</t>
  </si>
  <si>
    <t>IOCTANE.FLD</t>
  </si>
  <si>
    <t>Isooctane</t>
  </si>
  <si>
    <t>IPENTANE.FLD</t>
  </si>
  <si>
    <t>Isopentane</t>
  </si>
  <si>
    <t>ISOBUTAN.FLD</t>
  </si>
  <si>
    <t>Isobutane</t>
  </si>
  <si>
    <t>KRYPTON.FLD</t>
  </si>
  <si>
    <t>Krypton</t>
  </si>
  <si>
    <t>MD2M.FLD</t>
  </si>
  <si>
    <t>MD2M</t>
  </si>
  <si>
    <t>MD3M.FLD</t>
  </si>
  <si>
    <t>MD3M</t>
  </si>
  <si>
    <t>MD4M.FLD</t>
  </si>
  <si>
    <t>MD4M</t>
  </si>
  <si>
    <t>MDM.FLD</t>
  </si>
  <si>
    <t>MDM</t>
  </si>
  <si>
    <t>MEA.FLD</t>
  </si>
  <si>
    <t>Monoethanolamine</t>
  </si>
  <si>
    <t>METHANE.FLD</t>
  </si>
  <si>
    <t>Methane</t>
  </si>
  <si>
    <t>METHANOL.FLD</t>
  </si>
  <si>
    <t>Methanol</t>
  </si>
  <si>
    <t>MLINOLEA.FLD</t>
  </si>
  <si>
    <t>Methyl linoleate</t>
  </si>
  <si>
    <t>MLINOLEN.FLD</t>
  </si>
  <si>
    <t>Methyl linolenate</t>
  </si>
  <si>
    <t>MM.FLD</t>
  </si>
  <si>
    <t>MM</t>
  </si>
  <si>
    <t>MOLEATE.FLD</t>
  </si>
  <si>
    <t>Methyl oleate</t>
  </si>
  <si>
    <t>MPALMITA.FLD</t>
  </si>
  <si>
    <t>Methyl palmitate</t>
  </si>
  <si>
    <t>MSTEARAT.FLD</t>
  </si>
  <si>
    <t>Methyl stearate</t>
  </si>
  <si>
    <t>MXYLENE.FLD</t>
  </si>
  <si>
    <t>m-Xylene</t>
  </si>
  <si>
    <t>N2O.FLD</t>
  </si>
  <si>
    <t>Nitrous oxide</t>
  </si>
  <si>
    <t>NEON.FLD</t>
  </si>
  <si>
    <t>Neon</t>
  </si>
  <si>
    <t>NEOPENTN.FLD</t>
  </si>
  <si>
    <t>Neopentane</t>
  </si>
  <si>
    <t>NF3.FLD</t>
  </si>
  <si>
    <t>Nitrogen trifluoride</t>
  </si>
  <si>
    <t>NITROGEN.FLD</t>
  </si>
  <si>
    <t>Nitrogen</t>
  </si>
  <si>
    <t>NONANE.FLD</t>
  </si>
  <si>
    <t>Nonane</t>
  </si>
  <si>
    <t>NOVEC649.FLD</t>
  </si>
  <si>
    <t>Novec 649, 1230</t>
  </si>
  <si>
    <t>OCTANE.FLD</t>
  </si>
  <si>
    <t>Octane</t>
  </si>
  <si>
    <t>ORTHOHYD.FLD</t>
  </si>
  <si>
    <t>Orthohydrogen</t>
  </si>
  <si>
    <t>OXYGEN.FLD</t>
  </si>
  <si>
    <t>Oxygen</t>
  </si>
  <si>
    <t>OXYLENE.FLD</t>
  </si>
  <si>
    <t>o-Xylene</t>
  </si>
  <si>
    <t>PARAHYD.FLD</t>
  </si>
  <si>
    <t>Parahydrogen</t>
  </si>
  <si>
    <t>PENTANE.FLD</t>
  </si>
  <si>
    <t>Pentane</t>
  </si>
  <si>
    <t>PROPADIENE.FLD</t>
  </si>
  <si>
    <t>Propadiene</t>
  </si>
  <si>
    <t>PROPANE.FLD</t>
  </si>
  <si>
    <t>Propane</t>
  </si>
  <si>
    <t>PROPYLEN.FLD</t>
  </si>
  <si>
    <t>Propylene</t>
  </si>
  <si>
    <t>PROPYLENEOXIDE.FLD</t>
  </si>
  <si>
    <t>Propylene oxide</t>
  </si>
  <si>
    <t>PROPYNE.FLD</t>
  </si>
  <si>
    <t>Propyne</t>
  </si>
  <si>
    <t>PXYLENE.FLD</t>
  </si>
  <si>
    <t>p-Xylene</t>
  </si>
  <si>
    <t>R11.FLD</t>
  </si>
  <si>
    <t>R11</t>
  </si>
  <si>
    <t>R1123.FLD</t>
  </si>
  <si>
    <t>R1123</t>
  </si>
  <si>
    <t>R113.FLD</t>
  </si>
  <si>
    <t>R113</t>
  </si>
  <si>
    <t>R1132E.FLD</t>
  </si>
  <si>
    <t>R1132(E)</t>
  </si>
  <si>
    <t>R114.FLD</t>
  </si>
  <si>
    <t>R114</t>
  </si>
  <si>
    <t>R115.FLD</t>
  </si>
  <si>
    <t>R115</t>
  </si>
  <si>
    <t>R116.FLD</t>
  </si>
  <si>
    <t>R116</t>
  </si>
  <si>
    <t>R12.FLD</t>
  </si>
  <si>
    <t>R12</t>
  </si>
  <si>
    <t>R1216.FLD</t>
  </si>
  <si>
    <t>R1216</t>
  </si>
  <si>
    <t>R1224YDZ.FLD</t>
  </si>
  <si>
    <t>R1224yd(Z)</t>
  </si>
  <si>
    <t>R123.FLD</t>
  </si>
  <si>
    <t>R123</t>
  </si>
  <si>
    <t>R1233ZDE.FLD</t>
  </si>
  <si>
    <t>R1233zd(E)</t>
  </si>
  <si>
    <t>R1234YF.FLD</t>
  </si>
  <si>
    <t>R1234yf</t>
  </si>
  <si>
    <t>R1234ZEE.FLD</t>
  </si>
  <si>
    <t>R1234ze(E)</t>
  </si>
  <si>
    <t>R1234ZEZ.FLD</t>
  </si>
  <si>
    <t>R1234ze(Z)</t>
  </si>
  <si>
    <t>R124.FLD</t>
  </si>
  <si>
    <t>R124</t>
  </si>
  <si>
    <t>R1243ZF.FLD</t>
  </si>
  <si>
    <t>R1243zf</t>
  </si>
  <si>
    <t>R125.FLD</t>
  </si>
  <si>
    <t>R125</t>
  </si>
  <si>
    <t>R13.FLD</t>
  </si>
  <si>
    <t>R13</t>
  </si>
  <si>
    <t>R1336MZZZ.FLD</t>
  </si>
  <si>
    <t>R1336mzz(Z)</t>
  </si>
  <si>
    <t>R134A.FLD</t>
  </si>
  <si>
    <t>R134a</t>
  </si>
  <si>
    <t>R14.FLD</t>
  </si>
  <si>
    <t>R14</t>
  </si>
  <si>
    <t>R141B.FLD</t>
  </si>
  <si>
    <t>R141b</t>
  </si>
  <si>
    <t>R142B.FLD</t>
  </si>
  <si>
    <t>R142b</t>
  </si>
  <si>
    <t>R143A.FLD</t>
  </si>
  <si>
    <t>R143a</t>
  </si>
  <si>
    <t>R150.FLD</t>
  </si>
  <si>
    <t>Dichloroethane</t>
  </si>
  <si>
    <t>R152A.FLD</t>
  </si>
  <si>
    <t>R152a</t>
  </si>
  <si>
    <t>R161.FLD</t>
  </si>
  <si>
    <t>R161</t>
  </si>
  <si>
    <t>R21.FLD</t>
  </si>
  <si>
    <t>R21</t>
  </si>
  <si>
    <t>R218.FLD</t>
  </si>
  <si>
    <t>R218</t>
  </si>
  <si>
    <t>R22.FLD</t>
  </si>
  <si>
    <t>R22</t>
  </si>
  <si>
    <t>R227EA.FLD</t>
  </si>
  <si>
    <t>R227ea</t>
  </si>
  <si>
    <t>R23.FLD</t>
  </si>
  <si>
    <t>R23</t>
  </si>
  <si>
    <t>R236EA.FLD</t>
  </si>
  <si>
    <t>R236ea</t>
  </si>
  <si>
    <t>R236FA.FLD</t>
  </si>
  <si>
    <t>R236fa</t>
  </si>
  <si>
    <t>R245CA.FLD</t>
  </si>
  <si>
    <t>R245ca</t>
  </si>
  <si>
    <t>R245FA.FLD</t>
  </si>
  <si>
    <t>R245fa</t>
  </si>
  <si>
    <t>R32.FLD</t>
  </si>
  <si>
    <t>R32</t>
  </si>
  <si>
    <t>R365MFC.FLD</t>
  </si>
  <si>
    <t>R365mfc</t>
  </si>
  <si>
    <t>R40.FLD</t>
  </si>
  <si>
    <t>R40</t>
  </si>
  <si>
    <t>R41.FLD</t>
  </si>
  <si>
    <t>R41</t>
  </si>
  <si>
    <t>RC318.FLD</t>
  </si>
  <si>
    <t>RC318</t>
  </si>
  <si>
    <t>RE143A.FLD</t>
  </si>
  <si>
    <t>RE143a</t>
  </si>
  <si>
    <t>RE245CB2.FLD</t>
  </si>
  <si>
    <t>RE245cb2</t>
  </si>
  <si>
    <t>RE245FA2.FLD</t>
  </si>
  <si>
    <t>RE245fa2</t>
  </si>
  <si>
    <t>RE347MCC.FLD</t>
  </si>
  <si>
    <t>RE347mcc (HFE-7000)</t>
  </si>
  <si>
    <t>SF6.FLD</t>
  </si>
  <si>
    <t>Sulfur hexafluoride</t>
  </si>
  <si>
    <t>SO2.FLD</t>
  </si>
  <si>
    <t>Sulfur dioxide</t>
  </si>
  <si>
    <t>T2BUTENE.FLD</t>
  </si>
  <si>
    <t>trans-Butene</t>
  </si>
  <si>
    <t>TOLUENE.FLD</t>
  </si>
  <si>
    <t>Toluene</t>
  </si>
  <si>
    <t>VINYLCHLORIDE.FLD</t>
  </si>
  <si>
    <t>Vinyl chloride</t>
  </si>
  <si>
    <t>WATER.FLD</t>
  </si>
  <si>
    <t>Water</t>
  </si>
  <si>
    <t>XENON.FLD</t>
  </si>
  <si>
    <t>Xenon</t>
  </si>
  <si>
    <t>Tc2 =</t>
  </si>
  <si>
    <t>Tc1 =</t>
  </si>
  <si>
    <t>Pc1 =</t>
  </si>
  <si>
    <t>Pc2 =</t>
  </si>
  <si>
    <t>ζ =</t>
  </si>
  <si>
    <t>Mixture interaction parameter</t>
  </si>
  <si>
    <t>ω1 =</t>
  </si>
  <si>
    <t>ω2 =</t>
  </si>
  <si>
    <t>Intermediate parameter, m =</t>
  </si>
  <si>
    <t xml:space="preserve">GammaT = </t>
  </si>
  <si>
    <t>Tc12 =</t>
  </si>
  <si>
    <t>Argone</t>
  </si>
  <si>
    <t>x1</t>
  </si>
  <si>
    <t>Tred</t>
  </si>
  <si>
    <t>Dred</t>
  </si>
  <si>
    <t>Sample#1 good</t>
  </si>
  <si>
    <t xml:space="preserve">R134a/R245fa            </t>
  </si>
  <si>
    <t>Pred</t>
  </si>
  <si>
    <t>Sample#1 bad</t>
  </si>
  <si>
    <t>Nitrogen/R227ea</t>
  </si>
  <si>
    <t>Tc (K)</t>
    <phoneticPr fontId="2"/>
  </si>
  <si>
    <t>Dc (mol/L)</t>
    <phoneticPr fontId="2"/>
  </si>
  <si>
    <t>betaT</t>
    <phoneticPr fontId="2"/>
  </si>
  <si>
    <t>gammaT</t>
    <phoneticPr fontId="2"/>
  </si>
  <si>
    <t>betaV</t>
    <phoneticPr fontId="2"/>
  </si>
  <si>
    <t>gammaV</t>
    <phoneticPr fontId="2"/>
  </si>
  <si>
    <t>comp.1</t>
    <phoneticPr fontId="2"/>
  </si>
  <si>
    <t>comp.2</t>
    <phoneticPr fontId="2"/>
  </si>
  <si>
    <t>R134a/R245fa</t>
  </si>
  <si>
    <t>x1</t>
    <phoneticPr fontId="2"/>
  </si>
  <si>
    <t>x2</t>
    <phoneticPr fontId="2"/>
  </si>
  <si>
    <t>Tred</t>
    <phoneticPr fontId="2"/>
  </si>
  <si>
    <t>Dred</t>
    <phoneticPr fontId="2"/>
  </si>
  <si>
    <t>Pred_with_1</t>
  </si>
  <si>
    <t xml:space="preserve">Nitrogen/R227ea </t>
  </si>
  <si>
    <t>Name</t>
  </si>
  <si>
    <t>BetaT</t>
  </si>
  <si>
    <t>GammaT</t>
  </si>
  <si>
    <t>BetaV</t>
  </si>
  <si>
    <t>GammaV</t>
  </si>
  <si>
    <t>Carbon dioxide/R152a                                      [CO2/R152A]</t>
  </si>
  <si>
    <t>R134a/RE143a                                              [R134A/RE143A]</t>
  </si>
  <si>
    <t>R32/R236fa                                                [R32/R236FA]</t>
  </si>
  <si>
    <t>R12/R113                                                  [R12/R113]</t>
  </si>
  <si>
    <t>BetaT (assumed) =</t>
  </si>
  <si>
    <t>X1</t>
  </si>
  <si>
    <t>X2</t>
  </si>
  <si>
    <t>Input</t>
  </si>
  <si>
    <t>Output</t>
  </si>
  <si>
    <r>
      <t xml:space="preserve">Critical parameters </t>
    </r>
    <r>
      <rPr>
        <sz val="12"/>
        <color theme="1"/>
        <rFont val="Aptos Narrow"/>
        <scheme val="minor"/>
      </rPr>
      <t>(The components '1' and '2' depend on the dipole moment: lowest μ is component 1)</t>
    </r>
  </si>
  <si>
    <t>Tred calculation (simplified with BetaT assumed as 1)</t>
  </si>
  <si>
    <t>Estimated</t>
  </si>
  <si>
    <t>Predicted</t>
  </si>
  <si>
    <t>Carbon dioxide/R152a</t>
  </si>
  <si>
    <t xml:space="preserve">Carbon dioxide/R152a </t>
  </si>
  <si>
    <t>R134a/RE143a</t>
  </si>
  <si>
    <t xml:space="preserve">R32/R236fa </t>
  </si>
  <si>
    <t>R12/R113</t>
  </si>
  <si>
    <t>RMSE</t>
  </si>
  <si>
    <t xml:space="preserve">R12/R113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</si>
</sst>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sz val="11"/>
      <color rgb="FF000000"/>
      <name val="HGS創英角ｺﾞｼｯｸUB"/>
      <family val="3"/>
      <charset val="128"/>
    </font>
    <font>
      <b/>
      <sz val="12"/>
      <color rgb="FF000000"/>
      <name val="Aptos Narrow"/>
      <scheme val="minor"/>
    </font>
    <font>
      <sz val="12"/>
      <color rgb="FF000000"/>
      <name val="Aptos Narrow"/>
      <family val="2"/>
      <scheme val="minor"/>
    </font>
    <font>
      <sz val="11"/>
      <color theme="1"/>
      <name val="HGS創英角ｺﾞｼｯｸUB"/>
      <family val="3"/>
      <charset val="128"/>
    </font>
    <font>
      <b/>
      <sz val="14"/>
      <color rgb="FF595959"/>
      <name val="Aptos Narrow"/>
      <family val="2"/>
      <charset val="128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300"/>
        <bgColor indexed="64"/>
      </patternFill>
    </fill>
    <fill>
      <patternFill patternType="solid">
        <fgColor rgb="FF3CAEE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8" fillId="0" borderId="0" xfId="0" applyFont="1"/>
    <xf numFmtId="0" fontId="0" fillId="0" borderId="0" xfId="0" applyAlignment="1">
      <alignment horizontal="right" vertical="center"/>
    </xf>
    <xf numFmtId="2" fontId="19" fillId="0" borderId="0" xfId="0" applyNumberFormat="1" applyFont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2" fontId="22" fillId="0" borderId="0" xfId="0" applyNumberFormat="1" applyFont="1" applyAlignment="1">
      <alignment vertical="center"/>
    </xf>
    <xf numFmtId="0" fontId="25" fillId="33" borderId="0" xfId="0" applyFont="1" applyFill="1" applyAlignment="1">
      <alignment horizontal="left"/>
    </xf>
    <xf numFmtId="0" fontId="18" fillId="33" borderId="0" xfId="0" applyFont="1" applyFill="1" applyAlignment="1">
      <alignment horizontal="left"/>
    </xf>
    <xf numFmtId="0" fontId="0" fillId="33" borderId="0" xfId="0" applyFill="1" applyAlignment="1">
      <alignment horizontal="left"/>
    </xf>
    <xf numFmtId="0" fontId="25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right" vertical="center"/>
    </xf>
    <xf numFmtId="0" fontId="0" fillId="0" borderId="12" xfId="0" applyBorder="1"/>
    <xf numFmtId="0" fontId="22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9300"/>
      <color rgb="FF3CAE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Carbon dioxide/R152a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Result!$C$15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Result!$B$16:$B$26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Result!$C$16:$C$26</c:f>
              <c:numCache>
                <c:formatCode>General</c:formatCode>
                <c:ptCount val="11"/>
                <c:pt idx="0">
                  <c:v>386.411</c:v>
                </c:pt>
                <c:pt idx="1">
                  <c:v>378.24976484577388</c:v>
                </c:pt>
                <c:pt idx="2">
                  <c:v>370.02406854972946</c:v>
                </c:pt>
                <c:pt idx="3">
                  <c:v>361.75255524169108</c:v>
                </c:pt>
                <c:pt idx="4">
                  <c:v>353.45383566368128</c:v>
                </c:pt>
                <c:pt idx="5">
                  <c:v>345.14648724462495</c:v>
                </c:pt>
                <c:pt idx="6">
                  <c:v>336.84905417485413</c:v>
                </c:pt>
                <c:pt idx="7">
                  <c:v>328.58004748041276</c:v>
                </c:pt>
                <c:pt idx="8">
                  <c:v>320.35794509716152</c:v>
                </c:pt>
                <c:pt idx="9">
                  <c:v>312.20119194468498</c:v>
                </c:pt>
                <c:pt idx="10">
                  <c:v>304.12819999999999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E-F644-A05F-1CA3E0F459A7}"/>
            </c:ext>
          </c:extLst>
        </c:ser>
        <c:ser>
          <c:idx val="1"/>
          <c:order val="1"/>
          <c:tx>
            <c:strRef>
              <c:f>Result!$D$15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Result!$B$16:$B$26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Result!$D$16:$D$26</c:f>
              <c:numCache>
                <c:formatCode>General</c:formatCode>
                <c:ptCount val="11"/>
                <c:pt idx="0">
                  <c:v>386.411</c:v>
                </c:pt>
                <c:pt idx="1">
                  <c:v>378.42267604221291</c:v>
                </c:pt>
                <c:pt idx="2">
                  <c:v>370.38102851948969</c:v>
                </c:pt>
                <c:pt idx="3">
                  <c:v>362.2860574318301</c:v>
                </c:pt>
                <c:pt idx="4">
                  <c:v>354.13776277923449</c:v>
                </c:pt>
                <c:pt idx="5">
                  <c:v>345.93614456170252</c:v>
                </c:pt>
                <c:pt idx="6">
                  <c:v>337.68120277923447</c:v>
                </c:pt>
                <c:pt idx="7">
                  <c:v>329.37293743183017</c:v>
                </c:pt>
                <c:pt idx="8">
                  <c:v>321.01134851948962</c:v>
                </c:pt>
                <c:pt idx="9">
                  <c:v>312.59643604221287</c:v>
                </c:pt>
                <c:pt idx="10">
                  <c:v>304.12819999999999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0E-F644-A05F-1CA3E0F459A7}"/>
            </c:ext>
          </c:extLst>
        </c:ser>
        <c:ser>
          <c:idx val="2"/>
          <c:order val="2"/>
          <c:tx>
            <c:strRef>
              <c:f>Result!$E$15</c:f>
              <c:strCache>
                <c:ptCount val="1"/>
                <c:pt idx="0">
                  <c:v>Predicted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Result!$B$16:$B$26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Result!$E$16:$E$26</c:f>
              <c:numCache>
                <c:formatCode>General</c:formatCode>
                <c:ptCount val="11"/>
                <c:pt idx="0">
                  <c:v>386.411</c:v>
                </c:pt>
                <c:pt idx="1">
                  <c:v>377.48605840207438</c:v>
                </c:pt>
                <c:pt idx="2">
                  <c:v>367.91190172712879</c:v>
                </c:pt>
                <c:pt idx="3">
                  <c:v>358.00546044235597</c:v>
                </c:pt>
                <c:pt idx="4">
                  <c:v>348.07447032540676</c:v>
                </c:pt>
                <c:pt idx="5">
                  <c:v>338.41780350526733</c:v>
                </c:pt>
                <c:pt idx="6">
                  <c:v>329.32578530303817</c:v>
                </c:pt>
                <c:pt idx="7">
                  <c:v>321.08049757820424</c:v>
                </c:pt>
                <c:pt idx="8">
                  <c:v>313.95606924620432</c:v>
                </c:pt>
                <c:pt idx="9">
                  <c:v>308.21895459582566</c:v>
                </c:pt>
                <c:pt idx="10">
                  <c:v>304.12819999999999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0E-F644-A05F-1CA3E0F45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989599"/>
        <c:axId val="594992079"/>
      </c:lineChart>
      <c:catAx>
        <c:axId val="59498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594992079"/>
        <c:crosses val="autoZero"/>
        <c:auto val="1"/>
        <c:lblAlgn val="ctr"/>
        <c:lblOffset val="100"/>
        <c:noMultiLvlLbl val="0"/>
      </c:catAx>
      <c:valAx>
        <c:axId val="594992079"/>
        <c:scaling>
          <c:orientation val="minMax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594989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R134a/RE143a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Result!$C$28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Result!$B$29:$B$39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Result!$C$29:$C$39</c:f>
              <c:numCache>
                <c:formatCode>General</c:formatCode>
                <c:ptCount val="11"/>
                <c:pt idx="0">
                  <c:v>345.85700000000003</c:v>
                </c:pt>
                <c:pt idx="1">
                  <c:v>348.35694481971558</c:v>
                </c:pt>
                <c:pt idx="2">
                  <c:v>350.94126943838478</c:v>
                </c:pt>
                <c:pt idx="3">
                  <c:v>353.60627992160732</c:v>
                </c:pt>
                <c:pt idx="4">
                  <c:v>356.34828106410566</c:v>
                </c:pt>
                <c:pt idx="5">
                  <c:v>359.16357638917833</c:v>
                </c:pt>
                <c:pt idx="6">
                  <c:v>362.04846814815306</c:v>
                </c:pt>
                <c:pt idx="7">
                  <c:v>364.99925731983956</c:v>
                </c:pt>
                <c:pt idx="8">
                  <c:v>368.01224360998219</c:v>
                </c:pt>
                <c:pt idx="9">
                  <c:v>371.08372545071228</c:v>
                </c:pt>
                <c:pt idx="10">
                  <c:v>374.21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7-C747-911E-A238EEDE5DFA}"/>
            </c:ext>
          </c:extLst>
        </c:ser>
        <c:ser>
          <c:idx val="1"/>
          <c:order val="1"/>
          <c:tx>
            <c:strRef>
              <c:f>Result!$D$28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Result!$B$29:$B$39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Result!$D$29:$D$39</c:f>
              <c:numCache>
                <c:formatCode>General</c:formatCode>
                <c:ptCount val="11"/>
                <c:pt idx="0">
                  <c:v>345.85700000000003</c:v>
                </c:pt>
                <c:pt idx="1">
                  <c:v>348.40050311737144</c:v>
                </c:pt>
                <c:pt idx="2">
                  <c:v>351.00884998643807</c:v>
                </c:pt>
                <c:pt idx="3">
                  <c:v>353.68204060719995</c:v>
                </c:pt>
                <c:pt idx="4">
                  <c:v>356.42007497965716</c:v>
                </c:pt>
                <c:pt idx="5">
                  <c:v>359.22295310380952</c:v>
                </c:pt>
                <c:pt idx="6">
                  <c:v>362.09067497965708</c:v>
                </c:pt>
                <c:pt idx="7">
                  <c:v>365.02324060719997</c:v>
                </c:pt>
                <c:pt idx="8">
                  <c:v>368.02064998643806</c:v>
                </c:pt>
                <c:pt idx="9">
                  <c:v>371.08290311737136</c:v>
                </c:pt>
                <c:pt idx="10">
                  <c:v>374.21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07-C747-911E-A238EEDE5DFA}"/>
            </c:ext>
          </c:extLst>
        </c:ser>
        <c:ser>
          <c:idx val="2"/>
          <c:order val="2"/>
          <c:tx>
            <c:strRef>
              <c:f>Result!$E$28</c:f>
              <c:strCache>
                <c:ptCount val="1"/>
                <c:pt idx="0">
                  <c:v>Predicted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Result!$B$29:$B$39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Result!$E$29:$E$39</c:f>
              <c:numCache>
                <c:formatCode>General</c:formatCode>
                <c:ptCount val="11"/>
                <c:pt idx="0">
                  <c:v>345.85700000000003</c:v>
                </c:pt>
                <c:pt idx="1">
                  <c:v>347.88168351065246</c:v>
                </c:pt>
                <c:pt idx="2">
                  <c:v>350.08650401893772</c:v>
                </c:pt>
                <c:pt idx="3">
                  <c:v>352.47146152485561</c:v>
                </c:pt>
                <c:pt idx="4">
                  <c:v>355.03655602840649</c:v>
                </c:pt>
                <c:pt idx="5">
                  <c:v>357.78178752959002</c:v>
                </c:pt>
                <c:pt idx="6">
                  <c:v>360.70715602840647</c:v>
                </c:pt>
                <c:pt idx="7">
                  <c:v>363.81266152485568</c:v>
                </c:pt>
                <c:pt idx="8">
                  <c:v>367.09830401893771</c:v>
                </c:pt>
                <c:pt idx="9">
                  <c:v>370.56408351065238</c:v>
                </c:pt>
                <c:pt idx="10">
                  <c:v>374.21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07-C747-911E-A238EEDE5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2557967"/>
        <c:axId val="1122559679"/>
      </c:lineChart>
      <c:catAx>
        <c:axId val="112255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22559679"/>
        <c:crosses val="autoZero"/>
        <c:auto val="1"/>
        <c:lblAlgn val="ctr"/>
        <c:lblOffset val="100"/>
        <c:noMultiLvlLbl val="0"/>
      </c:catAx>
      <c:valAx>
        <c:axId val="1122559679"/>
        <c:scaling>
          <c:orientation val="minMax"/>
          <c:max val="380"/>
          <c:min val="3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2255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R32/R236fa 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Result!$C$41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Result!$B$42:$B$52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Result!$C$42:$C$52</c:f>
              <c:numCache>
                <c:formatCode>General</c:formatCode>
                <c:ptCount val="11"/>
                <c:pt idx="0">
                  <c:v>398.07</c:v>
                </c:pt>
                <c:pt idx="1">
                  <c:v>392.96042273863009</c:v>
                </c:pt>
                <c:pt idx="2">
                  <c:v>387.95621858030677</c:v>
                </c:pt>
                <c:pt idx="3">
                  <c:v>383.05354802936961</c:v>
                </c:pt>
                <c:pt idx="4">
                  <c:v>378.24857026920182</c:v>
                </c:pt>
                <c:pt idx="5">
                  <c:v>373.53744316166126</c:v>
                </c:pt>
                <c:pt idx="6">
                  <c:v>368.91632324651243</c:v>
                </c:pt>
                <c:pt idx="7">
                  <c:v>364.38136574085786</c:v>
                </c:pt>
                <c:pt idx="8">
                  <c:v>359.9287245385687</c:v>
                </c:pt>
                <c:pt idx="9">
                  <c:v>355.55455220971578</c:v>
                </c:pt>
                <c:pt idx="10">
                  <c:v>351.255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E0-C34C-884B-7E07DF2731F5}"/>
            </c:ext>
          </c:extLst>
        </c:ser>
        <c:ser>
          <c:idx val="1"/>
          <c:order val="1"/>
          <c:tx>
            <c:strRef>
              <c:f>Result!$D$41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Result!$B$42:$B$52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Result!$D$42:$D$52</c:f>
              <c:numCache>
                <c:formatCode>General</c:formatCode>
                <c:ptCount val="11"/>
                <c:pt idx="0">
                  <c:v>398.07</c:v>
                </c:pt>
                <c:pt idx="1">
                  <c:v>393.45294922088118</c:v>
                </c:pt>
                <c:pt idx="2">
                  <c:v>388.82157639267768</c:v>
                </c:pt>
                <c:pt idx="3">
                  <c:v>384.17588151538939</c:v>
                </c:pt>
                <c:pt idx="4">
                  <c:v>379.51586458901653</c:v>
                </c:pt>
                <c:pt idx="5">
                  <c:v>374.84152561355887</c:v>
                </c:pt>
                <c:pt idx="6">
                  <c:v>370.15286458901653</c:v>
                </c:pt>
                <c:pt idx="7">
                  <c:v>365.44988151538939</c:v>
                </c:pt>
                <c:pt idx="8">
                  <c:v>360.73257639267769</c:v>
                </c:pt>
                <c:pt idx="9">
                  <c:v>356.00094922088124</c:v>
                </c:pt>
                <c:pt idx="10">
                  <c:v>351.255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E0-C34C-884B-7E07DF2731F5}"/>
            </c:ext>
          </c:extLst>
        </c:ser>
        <c:ser>
          <c:idx val="2"/>
          <c:order val="2"/>
          <c:tx>
            <c:strRef>
              <c:f>Result!$E$41</c:f>
              <c:strCache>
                <c:ptCount val="1"/>
                <c:pt idx="0">
                  <c:v>Predicted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Result!$B$42:$B$52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Result!$E$42:$E$52</c:f>
              <c:numCache>
                <c:formatCode>General</c:formatCode>
                <c:ptCount val="11"/>
                <c:pt idx="0">
                  <c:v>398.07</c:v>
                </c:pt>
                <c:pt idx="1">
                  <c:v>390.78016785726925</c:v>
                </c:pt>
                <c:pt idx="2">
                  <c:v>384.06996507958979</c:v>
                </c:pt>
                <c:pt idx="3">
                  <c:v>377.93939166696146</c:v>
                </c:pt>
                <c:pt idx="4">
                  <c:v>372.38844761938458</c:v>
                </c:pt>
                <c:pt idx="5">
                  <c:v>367.41713293685893</c:v>
                </c:pt>
                <c:pt idx="6">
                  <c:v>363.02544761938464</c:v>
                </c:pt>
                <c:pt idx="7">
                  <c:v>359.21339166696151</c:v>
                </c:pt>
                <c:pt idx="8">
                  <c:v>355.98096507958974</c:v>
                </c:pt>
                <c:pt idx="9">
                  <c:v>353.32816785726925</c:v>
                </c:pt>
                <c:pt idx="10">
                  <c:v>351.255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E0-C34C-884B-7E07DF273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1439823"/>
        <c:axId val="1151479935"/>
      </c:lineChart>
      <c:catAx>
        <c:axId val="115143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51479935"/>
        <c:crosses val="autoZero"/>
        <c:auto val="1"/>
        <c:lblAlgn val="ctr"/>
        <c:lblOffset val="100"/>
        <c:noMultiLvlLbl val="0"/>
      </c:catAx>
      <c:valAx>
        <c:axId val="1151479935"/>
        <c:scaling>
          <c:orientation val="minMax"/>
          <c:min val="3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5143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R12/R113 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Result!$C$54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Result!$B$55:$B$65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Result!$C$55:$C$65</c:f>
              <c:numCache>
                <c:formatCode>General</c:formatCode>
                <c:ptCount val="11"/>
                <c:pt idx="0">
                  <c:v>487.21</c:v>
                </c:pt>
                <c:pt idx="1">
                  <c:v>478.81540292352668</c:v>
                </c:pt>
                <c:pt idx="2">
                  <c:v>470.01760519738082</c:v>
                </c:pt>
                <c:pt idx="3">
                  <c:v>460.81660682156212</c:v>
                </c:pt>
                <c:pt idx="4">
                  <c:v>451.21240779607103</c:v>
                </c:pt>
                <c:pt idx="5">
                  <c:v>441.20500812090734</c:v>
                </c:pt>
                <c:pt idx="6">
                  <c:v>430.79440779607114</c:v>
                </c:pt>
                <c:pt idx="7">
                  <c:v>419.98060682156222</c:v>
                </c:pt>
                <c:pt idx="8">
                  <c:v>408.76360519738074</c:v>
                </c:pt>
                <c:pt idx="9">
                  <c:v>397.14340292352665</c:v>
                </c:pt>
                <c:pt idx="10">
                  <c:v>385.12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4E-CE4A-A227-36FA75CE7A5F}"/>
            </c:ext>
          </c:extLst>
        </c:ser>
        <c:ser>
          <c:idx val="1"/>
          <c:order val="1"/>
          <c:tx>
            <c:strRef>
              <c:f>Result!$D$54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Result!$B$55:$B$65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Result!$D$55:$D$65</c:f>
              <c:numCache>
                <c:formatCode>General</c:formatCode>
                <c:ptCount val="11"/>
                <c:pt idx="0">
                  <c:v>487.21</c:v>
                </c:pt>
                <c:pt idx="1">
                  <c:v>476.23784361085313</c:v>
                </c:pt>
                <c:pt idx="2">
                  <c:v>465.4352775304057</c:v>
                </c:pt>
                <c:pt idx="3">
                  <c:v>454.80230175865739</c:v>
                </c:pt>
                <c:pt idx="4">
                  <c:v>444.33891629560844</c:v>
                </c:pt>
                <c:pt idx="5">
                  <c:v>434.04512114125879</c:v>
                </c:pt>
                <c:pt idx="6">
                  <c:v>423.92091629560849</c:v>
                </c:pt>
                <c:pt idx="7">
                  <c:v>413.96630175865744</c:v>
                </c:pt>
                <c:pt idx="8">
                  <c:v>404.18127753040568</c:v>
                </c:pt>
                <c:pt idx="9">
                  <c:v>394.56584361085316</c:v>
                </c:pt>
                <c:pt idx="10">
                  <c:v>385.12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4E-CE4A-A227-36FA75CE7A5F}"/>
            </c:ext>
          </c:extLst>
        </c:ser>
        <c:ser>
          <c:idx val="2"/>
          <c:order val="2"/>
          <c:tx>
            <c:strRef>
              <c:f>Result!$E$54</c:f>
              <c:strCache>
                <c:ptCount val="1"/>
                <c:pt idx="0">
                  <c:v>Predicted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Result!$B$55:$B$65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Result!$E$55:$E$65</c:f>
              <c:numCache>
                <c:formatCode>General</c:formatCode>
                <c:ptCount val="11"/>
                <c:pt idx="0">
                  <c:v>487.21</c:v>
                </c:pt>
                <c:pt idx="1">
                  <c:v>481.35265453528342</c:v>
                </c:pt>
                <c:pt idx="2">
                  <c:v>474.52827472939282</c:v>
                </c:pt>
                <c:pt idx="3">
                  <c:v>466.73686058232784</c:v>
                </c:pt>
                <c:pt idx="4">
                  <c:v>457.97841209408898</c:v>
                </c:pt>
                <c:pt idx="5">
                  <c:v>448.25292926467603</c:v>
                </c:pt>
                <c:pt idx="6">
                  <c:v>437.56041209408903</c:v>
                </c:pt>
                <c:pt idx="7">
                  <c:v>425.90086058232794</c:v>
                </c:pt>
                <c:pt idx="8">
                  <c:v>413.27427472939269</c:v>
                </c:pt>
                <c:pt idx="9">
                  <c:v>399.68065453528334</c:v>
                </c:pt>
                <c:pt idx="10">
                  <c:v>385.12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4E-CE4A-A227-36FA75CE7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101967"/>
        <c:axId val="594634447"/>
      </c:lineChart>
      <c:catAx>
        <c:axId val="595101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594634447"/>
        <c:crosses val="autoZero"/>
        <c:auto val="1"/>
        <c:lblAlgn val="ctr"/>
        <c:lblOffset val="100"/>
        <c:noMultiLvlLbl val="0"/>
      </c:catAx>
      <c:valAx>
        <c:axId val="594634447"/>
        <c:scaling>
          <c:orientation val="minMax"/>
          <c:min val="3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595101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>
        <c:manualLayout>
          <c:layoutTarget val="inner"/>
          <c:xMode val="edge"/>
          <c:yMode val="edge"/>
          <c:x val="9.7027023482142469E-2"/>
          <c:y val="0.19504170528266915"/>
          <c:w val="0.85855320972163318"/>
          <c:h val="0.72099968620697208"/>
        </c:manualLayout>
      </c:layout>
      <c:lineChart>
        <c:grouping val="standard"/>
        <c:varyColors val="0"/>
        <c:ser>
          <c:idx val="0"/>
          <c:order val="0"/>
          <c:tx>
            <c:strRef>
              <c:f>[1]calculation!$H$5</c:f>
              <c:strCache>
                <c:ptCount val="1"/>
                <c:pt idx="0">
                  <c:v>Tred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[1]calculation!$F$6:$F$16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[1]calculation!$H$6:$H$16</c:f>
              <c:numCache>
                <c:formatCode>General</c:formatCode>
                <c:ptCount val="11"/>
                <c:pt idx="0">
                  <c:v>374.9</c:v>
                </c:pt>
                <c:pt idx="1">
                  <c:v>354.62199479406371</c:v>
                </c:pt>
                <c:pt idx="2">
                  <c:v>333.32336852278007</c:v>
                </c:pt>
                <c:pt idx="3">
                  <c:v>311.00412118614872</c:v>
                </c:pt>
                <c:pt idx="4">
                  <c:v>287.66425278417</c:v>
                </c:pt>
                <c:pt idx="5">
                  <c:v>263.30376331684374</c:v>
                </c:pt>
                <c:pt idx="6">
                  <c:v>237.92265278417</c:v>
                </c:pt>
                <c:pt idx="7">
                  <c:v>211.52092118614874</c:v>
                </c:pt>
                <c:pt idx="8">
                  <c:v>184.09856852278</c:v>
                </c:pt>
                <c:pt idx="9">
                  <c:v>155.65559479406372</c:v>
                </c:pt>
                <c:pt idx="10">
                  <c:v>126.19199999999999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C6-8F43-BEDE-058D5BCD6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38480"/>
        <c:axId val="1175939440"/>
      </c:lineChart>
      <c:catAx>
        <c:axId val="117593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9440"/>
        <c:crosses val="autoZero"/>
        <c:auto val="1"/>
        <c:lblAlgn val="ctr"/>
        <c:lblOffset val="100"/>
        <c:noMultiLvlLbl val="0"/>
      </c:catAx>
      <c:valAx>
        <c:axId val="1175939440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[1]calculation!$I$5</c:f>
              <c:strCache>
                <c:ptCount val="1"/>
                <c:pt idx="0">
                  <c:v>Dred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[1]calculation!$F$6:$F$16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[1]calculation!$I$6:$I$16</c:f>
              <c:numCache>
                <c:formatCode>General</c:formatCode>
                <c:ptCount val="11"/>
                <c:pt idx="0">
                  <c:v>3.4950000000000006</c:v>
                </c:pt>
                <c:pt idx="1">
                  <c:v>3.8007866839347688</c:v>
                </c:pt>
                <c:pt idx="2">
                  <c:v>4.1523414025584779</c:v>
                </c:pt>
                <c:pt idx="3">
                  <c:v>4.5600321608118648</c:v>
                </c:pt>
                <c:pt idx="4">
                  <c:v>5.0375403099525737</c:v>
                </c:pt>
                <c:pt idx="5">
                  <c:v>5.6032887788154735</c:v>
                </c:pt>
                <c:pt idx="6">
                  <c:v>6.2826769624302754</c:v>
                </c:pt>
                <c:pt idx="7">
                  <c:v>7.1117086361894435</c:v>
                </c:pt>
                <c:pt idx="8">
                  <c:v>8.1431427373133296</c:v>
                </c:pt>
                <c:pt idx="9">
                  <c:v>9.4574812350428221</c:v>
                </c:pt>
                <c:pt idx="10">
                  <c:v>11.1839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2-3345-AB9A-E9FE491CE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938960"/>
        <c:axId val="1175940880"/>
      </c:lineChart>
      <c:catAx>
        <c:axId val="117593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40880"/>
        <c:crosses val="autoZero"/>
        <c:auto val="1"/>
        <c:lblAlgn val="ctr"/>
        <c:lblOffset val="100"/>
        <c:noMultiLvlLbl val="0"/>
      </c:catAx>
      <c:valAx>
        <c:axId val="1175940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17593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R134a/R245fa: T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[1]calculation!$U$7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[1]calculation!$T$8:$T$18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[1]calculation!$U$8:$U$18</c:f>
              <c:numCache>
                <c:formatCode>General</c:formatCode>
                <c:ptCount val="11"/>
                <c:pt idx="0">
                  <c:v>427.01</c:v>
                </c:pt>
                <c:pt idx="1">
                  <c:v>422.00545301804328</c:v>
                </c:pt>
                <c:pt idx="2">
                  <c:v>416.93902758763249</c:v>
                </c:pt>
                <c:pt idx="3">
                  <c:v>411.81072370876757</c:v>
                </c:pt>
                <c:pt idx="4">
                  <c:v>406.62054138144867</c:v>
                </c:pt>
                <c:pt idx="5">
                  <c:v>401.3684806056757</c:v>
                </c:pt>
                <c:pt idx="6">
                  <c:v>396.0545413814487</c:v>
                </c:pt>
                <c:pt idx="7">
                  <c:v>390.67872370876762</c:v>
                </c:pt>
                <c:pt idx="8">
                  <c:v>385.24102758763246</c:v>
                </c:pt>
                <c:pt idx="9">
                  <c:v>379.74145301804327</c:v>
                </c:pt>
                <c:pt idx="10">
                  <c:v>374.18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B-064D-9FBA-BA4AF3122D2D}"/>
            </c:ext>
          </c:extLst>
        </c:ser>
        <c:ser>
          <c:idx val="1"/>
          <c:order val="1"/>
          <c:tx>
            <c:strRef>
              <c:f>[1]calculation!$V$7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[1]calculation!$T$8:$T$18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[1]calculation!$V$8:$V$18</c:f>
              <c:numCache>
                <c:formatCode>General</c:formatCode>
                <c:ptCount val="11"/>
                <c:pt idx="0">
                  <c:v>427.01</c:v>
                </c:pt>
                <c:pt idx="1">
                  <c:v>422.08755248872046</c:v>
                </c:pt>
                <c:pt idx="2">
                  <c:v>416.65786988239381</c:v>
                </c:pt>
                <c:pt idx="3">
                  <c:v>410.88482401258943</c:v>
                </c:pt>
                <c:pt idx="4">
                  <c:v>404.93012789989302</c:v>
                </c:pt>
                <c:pt idx="5">
                  <c:v>398.95337118682835</c:v>
                </c:pt>
                <c:pt idx="6">
                  <c:v>393.11205487518265</c:v>
                </c:pt>
                <c:pt idx="7">
                  <c:v>387.56162538361627</c:v>
                </c:pt>
                <c:pt idx="8">
                  <c:v>382.45550794102087</c:v>
                </c:pt>
                <c:pt idx="9">
                  <c:v>377.945139330693</c:v>
                </c:pt>
                <c:pt idx="10">
                  <c:v>374.18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B-064D-9FBA-BA4AF3122D2D}"/>
            </c:ext>
          </c:extLst>
        </c:ser>
        <c:ser>
          <c:idx val="2"/>
          <c:order val="2"/>
          <c:tx>
            <c:strRef>
              <c:f>[1]calculation!$W$7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[1]calculation!$T$8:$T$18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[1]calculation!$W$8:$W$18</c:f>
              <c:numCache>
                <c:formatCode>General</c:formatCode>
                <c:ptCount val="11"/>
                <c:pt idx="0">
                  <c:v>427.01</c:v>
                </c:pt>
                <c:pt idx="1">
                  <c:v>421.14564850852565</c:v>
                </c:pt>
                <c:pt idx="2">
                  <c:v>415.41048623737902</c:v>
                </c:pt>
                <c:pt idx="3">
                  <c:v>409.8045131865598</c:v>
                </c:pt>
                <c:pt idx="4">
                  <c:v>404.3277293560684</c:v>
                </c:pt>
                <c:pt idx="5">
                  <c:v>398.98013474590459</c:v>
                </c:pt>
                <c:pt idx="6">
                  <c:v>393.76172935606837</c:v>
                </c:pt>
                <c:pt idx="7">
                  <c:v>388.67251318655985</c:v>
                </c:pt>
                <c:pt idx="8">
                  <c:v>383.71248623737893</c:v>
                </c:pt>
                <c:pt idx="9">
                  <c:v>378.88164850852564</c:v>
                </c:pt>
                <c:pt idx="10">
                  <c:v>374.18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B-064D-9FBA-BA4AF3122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883663"/>
        <c:axId val="1014885375"/>
      </c:lineChart>
      <c:catAx>
        <c:axId val="1014883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885375"/>
        <c:crosses val="autoZero"/>
        <c:auto val="1"/>
        <c:lblAlgn val="ctr"/>
        <c:lblOffset val="100"/>
        <c:noMultiLvlLbl val="0"/>
      </c:catAx>
      <c:valAx>
        <c:axId val="1014885375"/>
        <c:scaling>
          <c:orientation val="minMax"/>
          <c:min val="3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883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R134a/R245fa:  D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[1]calculation!$Z$7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[1]calculation!$Y$8:$Y$18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[1]calculation!$Z$8:$Z$18</c:f>
              <c:numCache>
                <c:formatCode>General</c:formatCode>
                <c:ptCount val="11"/>
                <c:pt idx="0">
                  <c:v>3.875</c:v>
                </c:pt>
                <c:pt idx="1">
                  <c:v>3.9688404295317645</c:v>
                </c:pt>
                <c:pt idx="2">
                  <c:v>4.0665031783090537</c:v>
                </c:pt>
                <c:pt idx="3">
                  <c:v>4.1682157839016991</c:v>
                </c:pt>
                <c:pt idx="4">
                  <c:v>4.2742239794824304</c:v>
                </c:pt>
                <c:pt idx="5">
                  <c:v>4.3847935433302823</c:v>
                </c:pt>
                <c:pt idx="6">
                  <c:v>4.5002123783888948</c:v>
                </c:pt>
                <c:pt idx="7">
                  <c:v>4.6207928559628915</c:v>
                </c:pt>
                <c:pt idx="8">
                  <c:v>4.7468744635308155</c:v>
                </c:pt>
                <c:pt idx="9">
                  <c:v>4.8788268037207647</c:v>
                </c:pt>
                <c:pt idx="10">
                  <c:v>5.0170529999999998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5-3242-98FB-F27BCC23E9C8}"/>
            </c:ext>
          </c:extLst>
        </c:ser>
        <c:ser>
          <c:idx val="1"/>
          <c:order val="1"/>
          <c:tx>
            <c:strRef>
              <c:f>[1]calculation!$AA$7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[1]calculation!$Y$8:$Y$18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[1]calculation!$AA$8:$AA$18</c:f>
              <c:numCache>
                <c:formatCode>General</c:formatCode>
                <c:ptCount val="11"/>
                <c:pt idx="0">
                  <c:v>3.875</c:v>
                </c:pt>
                <c:pt idx="1">
                  <c:v>3.9444517693670464</c:v>
                </c:pt>
                <c:pt idx="2">
                  <c:v>4.0252075052524017</c:v>
                </c:pt>
                <c:pt idx="3">
                  <c:v>4.1169143345939805</c:v>
                </c:pt>
                <c:pt idx="4">
                  <c:v>4.2191963287224494</c:v>
                </c:pt>
                <c:pt idx="5">
                  <c:v>4.331603768365988</c:v>
                </c:pt>
                <c:pt idx="6">
                  <c:v>4.453557302948151</c:v>
                </c:pt>
                <c:pt idx="7">
                  <c:v>4.5842858037341507</c:v>
                </c:pt>
                <c:pt idx="8">
                  <c:v>4.7227576086860026</c:v>
                </c:pt>
                <c:pt idx="9">
                  <c:v>4.8676061708317846</c:v>
                </c:pt>
                <c:pt idx="10">
                  <c:v>5.0170529999999998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05-3242-98FB-F27BCC23E9C8}"/>
            </c:ext>
          </c:extLst>
        </c:ser>
        <c:ser>
          <c:idx val="2"/>
          <c:order val="2"/>
          <c:tx>
            <c:strRef>
              <c:f>[1]calculation!$AB$7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[1]calculation!$Y$8:$Y$18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[1]calculation!$AB$8:$AB$18</c:f>
              <c:numCache>
                <c:formatCode>General</c:formatCode>
                <c:ptCount val="11"/>
                <c:pt idx="0">
                  <c:v>3.875</c:v>
                </c:pt>
                <c:pt idx="1">
                  <c:v>3.9688404295317645</c:v>
                </c:pt>
                <c:pt idx="2">
                  <c:v>4.0665031783090537</c:v>
                </c:pt>
                <c:pt idx="3">
                  <c:v>4.1682157839016991</c:v>
                </c:pt>
                <c:pt idx="4">
                  <c:v>4.2742239794824304</c:v>
                </c:pt>
                <c:pt idx="5">
                  <c:v>4.3847935433302823</c:v>
                </c:pt>
                <c:pt idx="6">
                  <c:v>4.5002123783888948</c:v>
                </c:pt>
                <c:pt idx="7">
                  <c:v>4.6207928559628915</c:v>
                </c:pt>
                <c:pt idx="8">
                  <c:v>4.7468744635308155</c:v>
                </c:pt>
                <c:pt idx="9">
                  <c:v>4.8788268037207647</c:v>
                </c:pt>
                <c:pt idx="10">
                  <c:v>5.0170529999999998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05-3242-98FB-F27BCC23E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4909007"/>
        <c:axId val="1014811391"/>
      </c:lineChart>
      <c:catAx>
        <c:axId val="1014909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811391"/>
        <c:crosses val="autoZero"/>
        <c:auto val="1"/>
        <c:lblAlgn val="ctr"/>
        <c:lblOffset val="100"/>
        <c:noMultiLvlLbl val="0"/>
      </c:catAx>
      <c:valAx>
        <c:axId val="1014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490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Nitrogen/R227ea</a:t>
            </a:r>
            <a:r>
              <a:rPr lang="en-US" sz="1400" b="0" i="0" u="none" strike="noStrike" baseline="0"/>
              <a:t>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: T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[1]calculation!$U$25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[1]calculation!$T$26:$T$36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[1]calculation!$U$26:$U$36</c:f>
              <c:numCache>
                <c:formatCode>General</c:formatCode>
                <c:ptCount val="11"/>
                <c:pt idx="0">
                  <c:v>374.9</c:v>
                </c:pt>
                <c:pt idx="1">
                  <c:v>358.70159893458509</c:v>
                </c:pt>
                <c:pt idx="2">
                  <c:v>340.57599810592916</c:v>
                </c:pt>
                <c:pt idx="3">
                  <c:v>320.52319751403195</c:v>
                </c:pt>
                <c:pt idx="4">
                  <c:v>298.54319715889369</c:v>
                </c:pt>
                <c:pt idx="5">
                  <c:v>274.63599704051421</c:v>
                </c:pt>
                <c:pt idx="6">
                  <c:v>248.80159715889368</c:v>
                </c:pt>
                <c:pt idx="7">
                  <c:v>221.03999751403194</c:v>
                </c:pt>
                <c:pt idx="8">
                  <c:v>191.35119810592909</c:v>
                </c:pt>
                <c:pt idx="9">
                  <c:v>159.7351989345851</c:v>
                </c:pt>
                <c:pt idx="10">
                  <c:v>126.19199999999999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D-3341-8E53-51F9FD9098CB}"/>
            </c:ext>
          </c:extLst>
        </c:ser>
        <c:ser>
          <c:idx val="1"/>
          <c:order val="1"/>
          <c:tx>
            <c:strRef>
              <c:f>[1]calculation!$V$25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[1]calculation!$T$26:$T$36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[1]calculation!$V$26:$V$36</c:f>
              <c:numCache>
                <c:formatCode>General</c:formatCode>
                <c:ptCount val="11"/>
                <c:pt idx="0">
                  <c:v>374.9</c:v>
                </c:pt>
                <c:pt idx="1">
                  <c:v>355.6520987665179</c:v>
                </c:pt>
                <c:pt idx="2">
                  <c:v>334.68218011800064</c:v>
                </c:pt>
                <c:pt idx="3">
                  <c:v>312.17389067489739</c:v>
                </c:pt>
                <c:pt idx="4">
                  <c:v>288.30706783865162</c:v>
                </c:pt>
                <c:pt idx="5">
                  <c:v>263.2578380462636</c:v>
                </c:pt>
                <c:pt idx="6">
                  <c:v>237.1987119992225</c:v>
                </c:pt>
                <c:pt idx="7">
                  <c:v>210.29867697494981</c:v>
                </c:pt>
                <c:pt idx="8">
                  <c:v>182.72328632450427</c:v>
                </c:pt>
                <c:pt idx="9">
                  <c:v>154.63474625610195</c:v>
                </c:pt>
                <c:pt idx="10">
                  <c:v>126.19199999999999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8D-3341-8E53-51F9FD9098CB}"/>
            </c:ext>
          </c:extLst>
        </c:ser>
        <c:ser>
          <c:idx val="2"/>
          <c:order val="2"/>
          <c:tx>
            <c:strRef>
              <c:f>[1]calculation!$W$25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[1]calculation!$T$26:$T$36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[1]calculation!$W$26:$W$36</c:f>
              <c:numCache>
                <c:formatCode>General</c:formatCode>
                <c:ptCount val="11"/>
                <c:pt idx="0">
                  <c:v>374.9</c:v>
                </c:pt>
                <c:pt idx="1">
                  <c:v>354.62199479406371</c:v>
                </c:pt>
                <c:pt idx="2">
                  <c:v>333.32336852278007</c:v>
                </c:pt>
                <c:pt idx="3">
                  <c:v>311.00412118614872</c:v>
                </c:pt>
                <c:pt idx="4">
                  <c:v>287.66425278417</c:v>
                </c:pt>
                <c:pt idx="5">
                  <c:v>263.30376331684374</c:v>
                </c:pt>
                <c:pt idx="6">
                  <c:v>237.92265278417</c:v>
                </c:pt>
                <c:pt idx="7">
                  <c:v>211.52092118614874</c:v>
                </c:pt>
                <c:pt idx="8">
                  <c:v>184.09856852278</c:v>
                </c:pt>
                <c:pt idx="9">
                  <c:v>155.65559479406372</c:v>
                </c:pt>
                <c:pt idx="10">
                  <c:v>126.19199999999999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8D-3341-8E53-51F9FD909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316320"/>
        <c:axId val="350253104"/>
      </c:lineChart>
      <c:catAx>
        <c:axId val="35031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350253104"/>
        <c:crosses val="autoZero"/>
        <c:auto val="1"/>
        <c:lblAlgn val="ctr"/>
        <c:lblOffset val="100"/>
        <c:noMultiLvlLbl val="0"/>
      </c:catAx>
      <c:valAx>
        <c:axId val="3502531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35031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Nitrogen/R227ea</a:t>
            </a:r>
            <a:r>
              <a:rPr lang="en-US" sz="1400" b="0" i="0" u="none" strike="noStrike" baseline="0"/>
              <a:t>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: D 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[1]calculation!$Z$25</c:f>
              <c:strCache>
                <c:ptCount val="1"/>
                <c:pt idx="0">
                  <c:v>TRUE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[1]calculation!$Y$26:$Y$36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[1]calculation!$Z$26:$Z$36</c:f>
              <c:numCache>
                <c:formatCode>General</c:formatCode>
                <c:ptCount val="11"/>
                <c:pt idx="0">
                  <c:v>3.4950000000000006</c:v>
                </c:pt>
                <c:pt idx="1">
                  <c:v>3.8007866839347688</c:v>
                </c:pt>
                <c:pt idx="2">
                  <c:v>4.1523414025584779</c:v>
                </c:pt>
                <c:pt idx="3">
                  <c:v>4.5600321608118648</c:v>
                </c:pt>
                <c:pt idx="4">
                  <c:v>5.0375403099525737</c:v>
                </c:pt>
                <c:pt idx="5">
                  <c:v>5.6032887788154735</c:v>
                </c:pt>
                <c:pt idx="6">
                  <c:v>6.2826769624302754</c:v>
                </c:pt>
                <c:pt idx="7">
                  <c:v>7.1117086361894435</c:v>
                </c:pt>
                <c:pt idx="8">
                  <c:v>8.1431427373133296</c:v>
                </c:pt>
                <c:pt idx="9">
                  <c:v>9.4574812350428221</c:v>
                </c:pt>
                <c:pt idx="10">
                  <c:v>11.1839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D-F04A-85AD-6503347412B5}"/>
            </c:ext>
          </c:extLst>
        </c:ser>
        <c:ser>
          <c:idx val="1"/>
          <c:order val="1"/>
          <c:tx>
            <c:strRef>
              <c:f>[1]calculation!$AA$25</c:f>
              <c:strCache>
                <c:ptCount val="1"/>
                <c:pt idx="0">
                  <c:v>Pred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[1]calculation!$Y$26:$Y$36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[1]calculation!$AA$26:$AA$36</c:f>
              <c:numCache>
                <c:formatCode>General</c:formatCode>
                <c:ptCount val="11"/>
                <c:pt idx="0">
                  <c:v>3.4950000000000006</c:v>
                </c:pt>
                <c:pt idx="1">
                  <c:v>3.7305777807332001</c:v>
                </c:pt>
                <c:pt idx="2">
                  <c:v>4.0125844985931556</c:v>
                </c:pt>
                <c:pt idx="3">
                  <c:v>4.3522056644535843</c:v>
                </c:pt>
                <c:pt idx="4">
                  <c:v>4.7648248093649013</c:v>
                </c:pt>
                <c:pt idx="5">
                  <c:v>5.2720773838032784</c:v>
                </c:pt>
                <c:pt idx="6">
                  <c:v>5.9052552944745651</c:v>
                </c:pt>
                <c:pt idx="7">
                  <c:v>6.7112168142623636</c:v>
                </c:pt>
                <c:pt idx="8">
                  <c:v>7.7632427253774328</c:v>
                </c:pt>
                <c:pt idx="9">
                  <c:v>9.1824364569520789</c:v>
                </c:pt>
                <c:pt idx="10">
                  <c:v>11.1839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CD-F04A-85AD-6503347412B5}"/>
            </c:ext>
          </c:extLst>
        </c:ser>
        <c:ser>
          <c:idx val="2"/>
          <c:order val="2"/>
          <c:tx>
            <c:strRef>
              <c:f>[1]calculation!$AB$25</c:f>
              <c:strCache>
                <c:ptCount val="1"/>
                <c:pt idx="0">
                  <c:v>Pred_with_1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[1]calculation!$Y$26:$Y$36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[1]calculation!$AB$26:$AB$36</c:f>
              <c:numCache>
                <c:formatCode>General</c:formatCode>
                <c:ptCount val="11"/>
                <c:pt idx="0">
                  <c:v>3.5</c:v>
                </c:pt>
                <c:pt idx="1">
                  <c:v>3.8</c:v>
                </c:pt>
                <c:pt idx="2">
                  <c:v>4.1500000000000004</c:v>
                </c:pt>
                <c:pt idx="3">
                  <c:v>4.5599999999999996</c:v>
                </c:pt>
                <c:pt idx="4">
                  <c:v>5.04</c:v>
                </c:pt>
                <c:pt idx="5">
                  <c:v>5.6</c:v>
                </c:pt>
                <c:pt idx="6">
                  <c:v>6.28</c:v>
                </c:pt>
                <c:pt idx="7">
                  <c:v>7.11</c:v>
                </c:pt>
                <c:pt idx="8">
                  <c:v>8.14</c:v>
                </c:pt>
                <c:pt idx="9">
                  <c:v>9.4600000000000009</c:v>
                </c:pt>
                <c:pt idx="10">
                  <c:v>11.18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D-F04A-85AD-650334741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128271"/>
        <c:axId val="1984129983"/>
      </c:lineChart>
      <c:catAx>
        <c:axId val="1984128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984129983"/>
        <c:crosses val="autoZero"/>
        <c:auto val="1"/>
        <c:lblAlgn val="ctr"/>
        <c:lblOffset val="100"/>
        <c:noMultiLvlLbl val="0"/>
      </c:catAx>
      <c:valAx>
        <c:axId val="19841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98412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384175</xdr:colOff>
      <xdr:row>9</xdr:row>
      <xdr:rowOff>15875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0348AF-4260-ACCA-D241-421118C6CC88}"/>
            </a:ext>
          </a:extLst>
        </xdr:cNvPr>
        <xdr:cNvSpPr txBox="1"/>
      </xdr:nvSpPr>
      <xdr:spPr>
        <a:xfrm>
          <a:off x="4067175" y="16414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268134</xdr:colOff>
      <xdr:row>13</xdr:row>
      <xdr:rowOff>114414</xdr:rowOff>
    </xdr:from>
    <xdr:to>
      <xdr:col>10</xdr:col>
      <xdr:colOff>709551</xdr:colOff>
      <xdr:row>27</xdr:row>
      <xdr:rowOff>5645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55F062-AEDE-3D75-0972-E104605822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276358</xdr:colOff>
      <xdr:row>26</xdr:row>
      <xdr:rowOff>104970</xdr:rowOff>
    </xdr:from>
    <xdr:to>
      <xdr:col>10</xdr:col>
      <xdr:colOff>717775</xdr:colOff>
      <xdr:row>39</xdr:row>
      <xdr:rowOff>203118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1E7AC98-3D3B-52E5-BF07-C134FC7426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281743</xdr:colOff>
      <xdr:row>39</xdr:row>
      <xdr:rowOff>178910</xdr:rowOff>
    </xdr:from>
    <xdr:to>
      <xdr:col>10</xdr:col>
      <xdr:colOff>723160</xdr:colOff>
      <xdr:row>53</xdr:row>
      <xdr:rowOff>73857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B33E4D3-CDAD-350D-A2A1-BD2A6E2842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276318</xdr:colOff>
      <xdr:row>53</xdr:row>
      <xdr:rowOff>85778</xdr:rowOff>
    </xdr:from>
    <xdr:to>
      <xdr:col>10</xdr:col>
      <xdr:colOff>717735</xdr:colOff>
      <xdr:row>66</xdr:row>
      <xdr:rowOff>183925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6074EDA-9F2E-1E72-1E51-BA0599AF2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303139</xdr:colOff>
      <xdr:row>3</xdr:row>
      <xdr:rowOff>165393</xdr:rowOff>
    </xdr:from>
    <xdr:to>
      <xdr:col>17</xdr:col>
      <xdr:colOff>241202</xdr:colOff>
      <xdr:row>20</xdr:row>
      <xdr:rowOff>16315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5A74B26-6367-7041-9FFF-56AF901326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279693</xdr:colOff>
      <xdr:row>23</xdr:row>
      <xdr:rowOff>1270</xdr:rowOff>
    </xdr:from>
    <xdr:to>
      <xdr:col>17</xdr:col>
      <xdr:colOff>217756</xdr:colOff>
      <xdr:row>39</xdr:row>
      <xdr:rowOff>22176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2DB8F14-DE15-744D-ABFA-2DB154FD50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514350</xdr:colOff>
      <xdr:row>3</xdr:row>
      <xdr:rowOff>107950</xdr:rowOff>
    </xdr:from>
    <xdr:to>
      <xdr:col>35</xdr:col>
      <xdr:colOff>463550</xdr:colOff>
      <xdr:row>18</xdr:row>
      <xdr:rowOff>158750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71F192-7AB1-F04C-ACEA-B55B55747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654050</xdr:colOff>
      <xdr:row>3</xdr:row>
      <xdr:rowOff>44450</xdr:rowOff>
    </xdr:from>
    <xdr:to>
      <xdr:col>42</xdr:col>
      <xdr:colOff>603250</xdr:colOff>
      <xdr:row>18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64F9CD1-443E-AA4C-AE9E-924E2F58F1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514350</xdr:colOff>
      <xdr:row>22</xdr:row>
      <xdr:rowOff>57150</xdr:rowOff>
    </xdr:from>
    <xdr:to>
      <xdr:col>35</xdr:col>
      <xdr:colOff>463550</xdr:colOff>
      <xdr:row>36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F61AD7B-FABC-8647-BA7C-E059B5CCAA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412750</xdr:colOff>
      <xdr:row>22</xdr:row>
      <xdr:rowOff>44450</xdr:rowOff>
    </xdr:from>
    <xdr:to>
      <xdr:col>43</xdr:col>
      <xdr:colOff>361950</xdr:colOff>
      <xdr:row>36</xdr:row>
      <xdr:rowOff>158750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9F62F66-32F0-5144-8212-CD0453399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avin/Library/CloudStorage/Dropbox-AIZOTH/&#30740;&#31350;/Navin/NEDO/REFPROP_Material%20property/deepset-bi-mixtures/src/20250416_deepsetInPytorch_XR0_final/model/sum/20250408_KWmodel.xlsm" TargetMode="External"/><Relationship Id="rId1" Type="http://schemas.openxmlformats.org/officeDocument/2006/relationships/externalLinkPath" Target="/Users/navin/Library/CloudStorage/Dropbox-AIZOTH/&#30740;&#31350;/Navin/NEDO/REFPROP_Material%20property/deepset-bi-mixtures/src/20250416_deepsetInPytorch_XR0_final/model/sum/20250408_KW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W0"/>
      <sheetName val="calculation"/>
      <sheetName val="FLD"/>
      <sheetName val="Sheet1"/>
    </sheetNames>
    <sheetDataSet>
      <sheetData sheetId="0"/>
      <sheetData sheetId="1">
        <row r="5">
          <cell r="H5" t="str">
            <v>Tred</v>
          </cell>
          <cell r="I5" t="str">
            <v>Dred</v>
          </cell>
        </row>
        <row r="6">
          <cell r="F6">
            <v>0</v>
          </cell>
          <cell r="H6">
            <v>374.9</v>
          </cell>
          <cell r="I6">
            <v>3.4950000000000006</v>
          </cell>
        </row>
        <row r="7">
          <cell r="F7">
            <v>0.1</v>
          </cell>
          <cell r="H7">
            <v>354.62199479406371</v>
          </cell>
          <cell r="I7">
            <v>3.8007866839347688</v>
          </cell>
          <cell r="U7" t="b">
            <v>1</v>
          </cell>
          <cell r="V7" t="str">
            <v>Pred</v>
          </cell>
          <cell r="W7" t="str">
            <v>Pred_with_1</v>
          </cell>
          <cell r="Z7" t="b">
            <v>1</v>
          </cell>
          <cell r="AA7" t="str">
            <v>Pred</v>
          </cell>
          <cell r="AB7" t="str">
            <v>Pred_with_1</v>
          </cell>
        </row>
        <row r="8">
          <cell r="F8">
            <v>0.2</v>
          </cell>
          <cell r="H8">
            <v>333.32336852278007</v>
          </cell>
          <cell r="I8">
            <v>4.1523414025584779</v>
          </cell>
          <cell r="T8">
            <v>0</v>
          </cell>
          <cell r="U8">
            <v>427.01</v>
          </cell>
          <cell r="V8">
            <v>427.01</v>
          </cell>
          <cell r="W8">
            <v>427.01</v>
          </cell>
          <cell r="Y8">
            <v>0</v>
          </cell>
          <cell r="Z8">
            <v>3.875</v>
          </cell>
          <cell r="AA8">
            <v>3.875</v>
          </cell>
          <cell r="AB8">
            <v>3.875</v>
          </cell>
        </row>
        <row r="9">
          <cell r="F9">
            <v>0.3</v>
          </cell>
          <cell r="H9">
            <v>311.00412118614872</v>
          </cell>
          <cell r="I9">
            <v>4.5600321608118648</v>
          </cell>
          <cell r="T9">
            <v>0.1</v>
          </cell>
          <cell r="U9">
            <v>422.00545301804328</v>
          </cell>
          <cell r="V9">
            <v>422.08755248872046</v>
          </cell>
          <cell r="W9">
            <v>421.14564850852565</v>
          </cell>
          <cell r="Y9">
            <v>0.1</v>
          </cell>
          <cell r="Z9">
            <v>3.9688404295317645</v>
          </cell>
          <cell r="AA9">
            <v>3.9444517693670464</v>
          </cell>
          <cell r="AB9">
            <v>3.9688404295317645</v>
          </cell>
        </row>
        <row r="10">
          <cell r="F10">
            <v>0.4</v>
          </cell>
          <cell r="H10">
            <v>287.66425278417</v>
          </cell>
          <cell r="I10">
            <v>5.0375403099525737</v>
          </cell>
          <cell r="T10">
            <v>0.2</v>
          </cell>
          <cell r="U10">
            <v>416.93902758763249</v>
          </cell>
          <cell r="V10">
            <v>416.65786988239381</v>
          </cell>
          <cell r="W10">
            <v>415.41048623737902</v>
          </cell>
          <cell r="Y10">
            <v>0.2</v>
          </cell>
          <cell r="Z10">
            <v>4.0665031783090537</v>
          </cell>
          <cell r="AA10">
            <v>4.0252075052524017</v>
          </cell>
          <cell r="AB10">
            <v>4.0665031783090537</v>
          </cell>
        </row>
        <row r="11">
          <cell r="F11">
            <v>0.5</v>
          </cell>
          <cell r="H11">
            <v>263.30376331684374</v>
          </cell>
          <cell r="I11">
            <v>5.6032887788154735</v>
          </cell>
          <cell r="T11">
            <v>0.3</v>
          </cell>
          <cell r="U11">
            <v>411.81072370876757</v>
          </cell>
          <cell r="V11">
            <v>410.88482401258943</v>
          </cell>
          <cell r="W11">
            <v>409.8045131865598</v>
          </cell>
          <cell r="Y11">
            <v>0.3</v>
          </cell>
          <cell r="Z11">
            <v>4.1682157839016991</v>
          </cell>
          <cell r="AA11">
            <v>4.1169143345939805</v>
          </cell>
          <cell r="AB11">
            <v>4.1682157839016991</v>
          </cell>
        </row>
        <row r="12">
          <cell r="F12">
            <v>0.6</v>
          </cell>
          <cell r="H12">
            <v>237.92265278417</v>
          </cell>
          <cell r="I12">
            <v>6.2826769624302754</v>
          </cell>
          <cell r="T12">
            <v>0.4</v>
          </cell>
          <cell r="U12">
            <v>406.62054138144867</v>
          </cell>
          <cell r="V12">
            <v>404.93012789989302</v>
          </cell>
          <cell r="W12">
            <v>404.3277293560684</v>
          </cell>
          <cell r="Y12">
            <v>0.4</v>
          </cell>
          <cell r="Z12">
            <v>4.2742239794824304</v>
          </cell>
          <cell r="AA12">
            <v>4.2191963287224494</v>
          </cell>
          <cell r="AB12">
            <v>4.2742239794824304</v>
          </cell>
        </row>
        <row r="13">
          <cell r="F13">
            <v>0.7</v>
          </cell>
          <cell r="H13">
            <v>211.52092118614874</v>
          </cell>
          <cell r="I13">
            <v>7.1117086361894435</v>
          </cell>
          <cell r="T13">
            <v>0.5</v>
          </cell>
          <cell r="U13">
            <v>401.3684806056757</v>
          </cell>
          <cell r="V13">
            <v>398.95337118682835</v>
          </cell>
          <cell r="W13">
            <v>398.98013474590459</v>
          </cell>
          <cell r="Y13">
            <v>0.5</v>
          </cell>
          <cell r="Z13">
            <v>4.3847935433302823</v>
          </cell>
          <cell r="AA13">
            <v>4.331603768365988</v>
          </cell>
          <cell r="AB13">
            <v>4.3847935433302823</v>
          </cell>
        </row>
        <row r="14">
          <cell r="F14">
            <v>0.8</v>
          </cell>
          <cell r="H14">
            <v>184.09856852278</v>
          </cell>
          <cell r="I14">
            <v>8.1431427373133296</v>
          </cell>
          <cell r="T14">
            <v>0.6</v>
          </cell>
          <cell r="U14">
            <v>396.0545413814487</v>
          </cell>
          <cell r="V14">
            <v>393.11205487518265</v>
          </cell>
          <cell r="W14">
            <v>393.76172935606837</v>
          </cell>
          <cell r="Y14">
            <v>0.6</v>
          </cell>
          <cell r="Z14">
            <v>4.5002123783888948</v>
          </cell>
          <cell r="AA14">
            <v>4.453557302948151</v>
          </cell>
          <cell r="AB14">
            <v>4.5002123783888948</v>
          </cell>
        </row>
        <row r="15">
          <cell r="F15">
            <v>0.9</v>
          </cell>
          <cell r="H15">
            <v>155.65559479406372</v>
          </cell>
          <cell r="I15">
            <v>9.4574812350428221</v>
          </cell>
          <cell r="T15">
            <v>0.7</v>
          </cell>
          <cell r="U15">
            <v>390.67872370876762</v>
          </cell>
          <cell r="V15">
            <v>387.56162538361627</v>
          </cell>
          <cell r="W15">
            <v>388.67251318655985</v>
          </cell>
          <cell r="Y15">
            <v>0.7</v>
          </cell>
          <cell r="Z15">
            <v>4.6207928559628915</v>
          </cell>
          <cell r="AA15">
            <v>4.5842858037341507</v>
          </cell>
          <cell r="AB15">
            <v>4.6207928559628915</v>
          </cell>
        </row>
        <row r="16">
          <cell r="F16">
            <v>1</v>
          </cell>
          <cell r="H16">
            <v>126.19199999999999</v>
          </cell>
          <cell r="I16">
            <v>11.1839</v>
          </cell>
          <cell r="T16">
            <v>0.8</v>
          </cell>
          <cell r="U16">
            <v>385.24102758763246</v>
          </cell>
          <cell r="V16">
            <v>382.45550794102087</v>
          </cell>
          <cell r="W16">
            <v>383.71248623737893</v>
          </cell>
          <cell r="Y16">
            <v>0.8</v>
          </cell>
          <cell r="Z16">
            <v>4.7468744635308155</v>
          </cell>
          <cell r="AA16">
            <v>4.7227576086860026</v>
          </cell>
          <cell r="AB16">
            <v>4.7468744635308155</v>
          </cell>
        </row>
        <row r="17">
          <cell r="T17">
            <v>0.9</v>
          </cell>
          <cell r="U17">
            <v>379.74145301804327</v>
          </cell>
          <cell r="V17">
            <v>377.945139330693</v>
          </cell>
          <cell r="W17">
            <v>378.88164850852564</v>
          </cell>
          <cell r="Y17">
            <v>0.9</v>
          </cell>
          <cell r="Z17">
            <v>4.8788268037207647</v>
          </cell>
          <cell r="AA17">
            <v>4.8676061708317846</v>
          </cell>
          <cell r="AB17">
            <v>4.8788268037207647</v>
          </cell>
        </row>
        <row r="18">
          <cell r="T18">
            <v>1</v>
          </cell>
          <cell r="U18">
            <v>374.18</v>
          </cell>
          <cell r="V18">
            <v>374.18</v>
          </cell>
          <cell r="W18">
            <v>374.18</v>
          </cell>
          <cell r="Y18">
            <v>1</v>
          </cell>
          <cell r="Z18">
            <v>5.0170529999999998</v>
          </cell>
          <cell r="AA18">
            <v>5.0170529999999998</v>
          </cell>
          <cell r="AB18">
            <v>5.0170529999999998</v>
          </cell>
        </row>
        <row r="25">
          <cell r="U25" t="b">
            <v>1</v>
          </cell>
          <cell r="V25" t="str">
            <v>Pred</v>
          </cell>
          <cell r="W25" t="str">
            <v>Pred_with_1</v>
          </cell>
          <cell r="Z25" t="b">
            <v>1</v>
          </cell>
          <cell r="AA25" t="str">
            <v>Pred</v>
          </cell>
          <cell r="AB25" t="str">
            <v>Pred_with_1</v>
          </cell>
        </row>
        <row r="26">
          <cell r="T26">
            <v>0</v>
          </cell>
          <cell r="U26">
            <v>374.9</v>
          </cell>
          <cell r="V26">
            <v>374.9</v>
          </cell>
          <cell r="W26">
            <v>374.9</v>
          </cell>
          <cell r="Y26">
            <v>0</v>
          </cell>
          <cell r="Z26">
            <v>3.4950000000000006</v>
          </cell>
          <cell r="AA26">
            <v>3.4950000000000006</v>
          </cell>
          <cell r="AB26">
            <v>3.5</v>
          </cell>
        </row>
        <row r="27">
          <cell r="T27">
            <v>0.1</v>
          </cell>
          <cell r="U27">
            <v>358.70159893458509</v>
          </cell>
          <cell r="V27">
            <v>355.6520987665179</v>
          </cell>
          <cell r="W27">
            <v>354.62199479406371</v>
          </cell>
          <cell r="Y27">
            <v>0.1</v>
          </cell>
          <cell r="Z27">
            <v>3.8007866839347688</v>
          </cell>
          <cell r="AA27">
            <v>3.7305777807332001</v>
          </cell>
          <cell r="AB27">
            <v>3.8</v>
          </cell>
        </row>
        <row r="28">
          <cell r="T28">
            <v>0.2</v>
          </cell>
          <cell r="U28">
            <v>340.57599810592916</v>
          </cell>
          <cell r="V28">
            <v>334.68218011800064</v>
          </cell>
          <cell r="W28">
            <v>333.32336852278007</v>
          </cell>
          <cell r="Y28">
            <v>0.2</v>
          </cell>
          <cell r="Z28">
            <v>4.1523414025584779</v>
          </cell>
          <cell r="AA28">
            <v>4.0125844985931556</v>
          </cell>
          <cell r="AB28">
            <v>4.1500000000000004</v>
          </cell>
        </row>
        <row r="29">
          <cell r="T29">
            <v>0.3</v>
          </cell>
          <cell r="U29">
            <v>320.52319751403195</v>
          </cell>
          <cell r="V29">
            <v>312.17389067489739</v>
          </cell>
          <cell r="W29">
            <v>311.00412118614872</v>
          </cell>
          <cell r="Y29">
            <v>0.3</v>
          </cell>
          <cell r="Z29">
            <v>4.5600321608118648</v>
          </cell>
          <cell r="AA29">
            <v>4.3522056644535843</v>
          </cell>
          <cell r="AB29">
            <v>4.5599999999999996</v>
          </cell>
        </row>
        <row r="30">
          <cell r="T30">
            <v>0.4</v>
          </cell>
          <cell r="U30">
            <v>298.54319715889369</v>
          </cell>
          <cell r="V30">
            <v>288.30706783865162</v>
          </cell>
          <cell r="W30">
            <v>287.66425278417</v>
          </cell>
          <cell r="Y30">
            <v>0.4</v>
          </cell>
          <cell r="Z30">
            <v>5.0375403099525737</v>
          </cell>
          <cell r="AA30">
            <v>4.7648248093649013</v>
          </cell>
          <cell r="AB30">
            <v>5.04</v>
          </cell>
        </row>
        <row r="31">
          <cell r="T31">
            <v>0.5</v>
          </cell>
          <cell r="U31">
            <v>274.63599704051421</v>
          </cell>
          <cell r="V31">
            <v>263.2578380462636</v>
          </cell>
          <cell r="W31">
            <v>263.30376331684374</v>
          </cell>
          <cell r="Y31">
            <v>0.5</v>
          </cell>
          <cell r="Z31">
            <v>5.6032887788154735</v>
          </cell>
          <cell r="AA31">
            <v>5.2720773838032784</v>
          </cell>
          <cell r="AB31">
            <v>5.6</v>
          </cell>
        </row>
        <row r="32">
          <cell r="T32">
            <v>0.6</v>
          </cell>
          <cell r="U32">
            <v>248.80159715889368</v>
          </cell>
          <cell r="V32">
            <v>237.1987119992225</v>
          </cell>
          <cell r="W32">
            <v>237.92265278417</v>
          </cell>
          <cell r="Y32">
            <v>0.6</v>
          </cell>
          <cell r="Z32">
            <v>6.2826769624302754</v>
          </cell>
          <cell r="AA32">
            <v>5.9052552944745651</v>
          </cell>
          <cell r="AB32">
            <v>6.28</v>
          </cell>
        </row>
        <row r="33">
          <cell r="T33">
            <v>0.7</v>
          </cell>
          <cell r="U33">
            <v>221.03999751403194</v>
          </cell>
          <cell r="V33">
            <v>210.29867697494981</v>
          </cell>
          <cell r="W33">
            <v>211.52092118614874</v>
          </cell>
          <cell r="Y33">
            <v>0.7</v>
          </cell>
          <cell r="Z33">
            <v>7.1117086361894435</v>
          </cell>
          <cell r="AA33">
            <v>6.7112168142623636</v>
          </cell>
          <cell r="AB33">
            <v>7.11</v>
          </cell>
        </row>
        <row r="34">
          <cell r="T34">
            <v>0.8</v>
          </cell>
          <cell r="U34">
            <v>191.35119810592909</v>
          </cell>
          <cell r="V34">
            <v>182.72328632450427</v>
          </cell>
          <cell r="W34">
            <v>184.09856852278</v>
          </cell>
          <cell r="Y34">
            <v>0.8</v>
          </cell>
          <cell r="Z34">
            <v>8.1431427373133296</v>
          </cell>
          <cell r="AA34">
            <v>7.7632427253774328</v>
          </cell>
          <cell r="AB34">
            <v>8.14</v>
          </cell>
        </row>
        <row r="35">
          <cell r="T35">
            <v>0.9</v>
          </cell>
          <cell r="U35">
            <v>159.7351989345851</v>
          </cell>
          <cell r="V35">
            <v>154.63474625610195</v>
          </cell>
          <cell r="W35">
            <v>155.65559479406372</v>
          </cell>
          <cell r="Y35">
            <v>0.9</v>
          </cell>
          <cell r="Z35">
            <v>9.4574812350428221</v>
          </cell>
          <cell r="AA35">
            <v>9.1824364569520789</v>
          </cell>
          <cell r="AB35">
            <v>9.4600000000000009</v>
          </cell>
        </row>
        <row r="36">
          <cell r="T36">
            <v>1</v>
          </cell>
          <cell r="U36">
            <v>126.19199999999999</v>
          </cell>
          <cell r="V36">
            <v>126.19199999999999</v>
          </cell>
          <cell r="W36">
            <v>126.19199999999999</v>
          </cell>
          <cell r="Y36">
            <v>1</v>
          </cell>
          <cell r="Z36">
            <v>11.1839</v>
          </cell>
          <cell r="AA36">
            <v>11.1839</v>
          </cell>
          <cell r="AB36">
            <v>11.18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01C1E-31FD-594B-9FF8-FE466A9A35AF}">
  <dimension ref="A1:F149"/>
  <sheetViews>
    <sheetView tabSelected="1" zoomScale="170" zoomScaleNormal="155" workbookViewId="0">
      <pane ySplit="1" topLeftCell="A135" activePane="bottomLeft" state="frozen"/>
      <selection pane="bottomLeft" activeCell="D115" sqref="D115"/>
    </sheetView>
  </sheetViews>
  <sheetFormatPr baseColWidth="10" defaultRowHeight="16"/>
  <cols>
    <col min="1" max="1" width="22.6640625" style="1" customWidth="1"/>
    <col min="2" max="2" width="22.83203125" style="1" customWidth="1"/>
    <col min="3" max="3" width="20.6640625" style="1" customWidth="1"/>
    <col min="4" max="4" width="15.6640625" style="1" customWidth="1"/>
    <col min="5" max="5" width="18.1640625" style="1" customWidth="1"/>
    <col min="6" max="6" width="15.5" style="1" customWidth="1"/>
    <col min="7" max="16384" width="10.83203125" style="1"/>
  </cols>
  <sheetData>
    <row r="1" spans="1:6" s="2" customForma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>
      <c r="A2" s="1" t="s">
        <v>6</v>
      </c>
      <c r="B2" s="1" t="s">
        <v>7</v>
      </c>
      <c r="C2" s="1">
        <v>425.13499999999999</v>
      </c>
      <c r="D2" s="1">
        <v>4305.3</v>
      </c>
      <c r="E2" s="1">
        <v>0.192</v>
      </c>
      <c r="F2" s="1">
        <v>0</v>
      </c>
    </row>
    <row r="3" spans="1:6">
      <c r="A3" s="1" t="s">
        <v>8</v>
      </c>
      <c r="B3" s="1" t="s">
        <v>9</v>
      </c>
      <c r="C3" s="1">
        <v>419.29</v>
      </c>
      <c r="D3" s="1">
        <v>4005.1</v>
      </c>
      <c r="E3" s="1">
        <v>0.192</v>
      </c>
      <c r="F3" s="1">
        <v>0.33900000000000002</v>
      </c>
    </row>
    <row r="4" spans="1:6">
      <c r="A4" s="1" t="s">
        <v>10</v>
      </c>
      <c r="B4" s="1" t="s">
        <v>11</v>
      </c>
      <c r="C4" s="1">
        <v>432</v>
      </c>
      <c r="D4" s="1">
        <v>4141.6000000000004</v>
      </c>
      <c r="E4" s="1">
        <v>0.28000000000000003</v>
      </c>
      <c r="F4" s="1">
        <v>0.81</v>
      </c>
    </row>
    <row r="5" spans="1:6">
      <c r="A5" s="1" t="s">
        <v>12</v>
      </c>
      <c r="B5" s="1" t="s">
        <v>13</v>
      </c>
      <c r="C5" s="1">
        <v>465.74</v>
      </c>
      <c r="D5" s="1">
        <v>3598</v>
      </c>
      <c r="E5" s="1">
        <v>0.23300000000000001</v>
      </c>
      <c r="F5" s="1">
        <v>0.51</v>
      </c>
    </row>
    <row r="6" spans="1:6">
      <c r="A6" s="1" t="s">
        <v>14</v>
      </c>
      <c r="B6" s="1" t="s">
        <v>15</v>
      </c>
      <c r="C6" s="1">
        <v>490</v>
      </c>
      <c r="D6" s="1">
        <v>3138</v>
      </c>
      <c r="E6" s="1">
        <v>0.23</v>
      </c>
      <c r="F6" s="1">
        <v>0</v>
      </c>
    </row>
    <row r="7" spans="1:6">
      <c r="A7" s="1" t="s">
        <v>16</v>
      </c>
      <c r="B7" s="1" t="s">
        <v>17</v>
      </c>
      <c r="C7" s="1">
        <v>500.6</v>
      </c>
      <c r="D7" s="1">
        <v>3161</v>
      </c>
      <c r="E7" s="1">
        <v>0.247</v>
      </c>
      <c r="F7" s="1">
        <v>0</v>
      </c>
    </row>
    <row r="8" spans="1:6">
      <c r="A8" s="1" t="s">
        <v>18</v>
      </c>
      <c r="B8" s="1" t="s">
        <v>19</v>
      </c>
      <c r="C8" s="1">
        <v>506</v>
      </c>
      <c r="D8" s="1">
        <v>3184.5</v>
      </c>
      <c r="E8" s="1">
        <v>0.26800000000000002</v>
      </c>
      <c r="F8" s="1">
        <v>0</v>
      </c>
    </row>
    <row r="9" spans="1:6">
      <c r="A9" s="1" t="s">
        <v>20</v>
      </c>
      <c r="B9" s="1" t="s">
        <v>21</v>
      </c>
      <c r="C9" s="1">
        <v>508.1</v>
      </c>
      <c r="D9" s="1">
        <v>4692.3999999999996</v>
      </c>
      <c r="E9" s="1">
        <v>0.30709999999999998</v>
      </c>
      <c r="F9" s="1">
        <v>2.88</v>
      </c>
    </row>
    <row r="10" spans="1:6">
      <c r="A10" s="1" t="s">
        <v>22</v>
      </c>
      <c r="B10" s="1" t="s">
        <v>23</v>
      </c>
      <c r="C10" s="1">
        <v>308.3</v>
      </c>
      <c r="D10" s="1">
        <v>5988.2</v>
      </c>
      <c r="E10" s="1">
        <v>0.17799999999999999</v>
      </c>
      <c r="F10" s="1">
        <v>0</v>
      </c>
    </row>
    <row r="11" spans="1:6">
      <c r="A11" s="1" t="s">
        <v>24</v>
      </c>
      <c r="B11" s="1" t="s">
        <v>25</v>
      </c>
      <c r="C11" s="1">
        <v>405.56</v>
      </c>
      <c r="D11" s="1">
        <v>11363.4</v>
      </c>
      <c r="E11" s="1">
        <v>0.25600000000000001</v>
      </c>
      <c r="F11" s="1">
        <v>1.47</v>
      </c>
    </row>
    <row r="12" spans="1:6">
      <c r="A12" s="1" t="s">
        <v>26</v>
      </c>
      <c r="B12" s="1" t="s">
        <v>27</v>
      </c>
      <c r="C12" s="1">
        <v>150.68700000000001</v>
      </c>
      <c r="D12" s="1">
        <v>4863</v>
      </c>
      <c r="E12" s="1">
        <v>-2.1900000000000001E-3</v>
      </c>
      <c r="F12" s="1">
        <v>0</v>
      </c>
    </row>
    <row r="13" spans="1:6">
      <c r="A13" s="1" t="s">
        <v>28</v>
      </c>
      <c r="B13" s="1" t="s">
        <v>29</v>
      </c>
      <c r="C13" s="1">
        <v>562.02</v>
      </c>
      <c r="D13" s="1">
        <v>4907.277</v>
      </c>
      <c r="E13" s="1">
        <v>0.21099999999999999</v>
      </c>
      <c r="F13" s="1">
        <v>0</v>
      </c>
    </row>
    <row r="14" spans="1:6">
      <c r="A14" s="1" t="s">
        <v>30</v>
      </c>
      <c r="B14" s="1" t="s">
        <v>31</v>
      </c>
      <c r="C14" s="1">
        <v>425.125</v>
      </c>
      <c r="D14" s="1">
        <v>3796</v>
      </c>
      <c r="E14" s="1">
        <v>0.20100000000000001</v>
      </c>
      <c r="F14" s="1">
        <v>0.05</v>
      </c>
    </row>
    <row r="15" spans="1:6">
      <c r="A15" s="1" t="s">
        <v>32</v>
      </c>
      <c r="B15" s="1" t="s">
        <v>33</v>
      </c>
      <c r="C15" s="1">
        <v>638.79999999999995</v>
      </c>
      <c r="D15" s="1">
        <v>1990.4</v>
      </c>
      <c r="E15" s="1">
        <v>0.53900000000000003</v>
      </c>
      <c r="F15" s="1">
        <v>0</v>
      </c>
    </row>
    <row r="16" spans="1:6">
      <c r="A16" s="1" t="s">
        <v>34</v>
      </c>
      <c r="B16" s="1" t="s">
        <v>35</v>
      </c>
      <c r="C16" s="1">
        <v>658.1</v>
      </c>
      <c r="D16" s="1">
        <v>1817</v>
      </c>
      <c r="E16" s="1">
        <v>0.57399999999999995</v>
      </c>
      <c r="F16" s="1">
        <v>0</v>
      </c>
    </row>
    <row r="17" spans="1:6">
      <c r="A17" s="1" t="s">
        <v>36</v>
      </c>
      <c r="B17" s="1" t="s">
        <v>37</v>
      </c>
      <c r="C17" s="1">
        <v>722.1</v>
      </c>
      <c r="D17" s="1">
        <v>1479.85</v>
      </c>
      <c r="E17" s="1">
        <v>0.749</v>
      </c>
      <c r="F17" s="1">
        <v>0</v>
      </c>
    </row>
    <row r="18" spans="1:6">
      <c r="A18" s="1" t="s">
        <v>38</v>
      </c>
      <c r="B18" s="1" t="s">
        <v>39</v>
      </c>
      <c r="C18" s="1">
        <v>572.20000000000005</v>
      </c>
      <c r="D18" s="1">
        <v>3470</v>
      </c>
      <c r="E18" s="1">
        <v>0.23400000000000001</v>
      </c>
      <c r="F18" s="1">
        <v>0</v>
      </c>
    </row>
    <row r="19" spans="1:6">
      <c r="A19" s="1" t="s">
        <v>40</v>
      </c>
      <c r="B19" s="1" t="s">
        <v>41</v>
      </c>
      <c r="C19" s="1">
        <v>792.2</v>
      </c>
      <c r="D19" s="1">
        <v>1174</v>
      </c>
      <c r="E19" s="1">
        <v>0.97799999999999998</v>
      </c>
      <c r="F19" s="1">
        <v>0</v>
      </c>
    </row>
    <row r="20" spans="1:6">
      <c r="A20" s="1" t="s">
        <v>42</v>
      </c>
      <c r="B20" s="1" t="s">
        <v>43</v>
      </c>
      <c r="C20" s="1">
        <v>435.75</v>
      </c>
      <c r="D20" s="1">
        <v>4225.5</v>
      </c>
      <c r="E20" s="1">
        <v>0.20200000000000001</v>
      </c>
      <c r="F20" s="1">
        <v>0.3</v>
      </c>
    </row>
    <row r="21" spans="1:6">
      <c r="A21" s="1" t="s">
        <v>44</v>
      </c>
      <c r="B21" s="1" t="s">
        <v>45</v>
      </c>
      <c r="C21" s="1">
        <v>630.79999999999995</v>
      </c>
      <c r="D21" s="1">
        <v>2860</v>
      </c>
      <c r="E21" s="1">
        <v>0.32600000000000001</v>
      </c>
      <c r="F21" s="1">
        <v>0</v>
      </c>
    </row>
    <row r="22" spans="1:6">
      <c r="A22" s="1" t="s">
        <v>46</v>
      </c>
      <c r="B22" s="1" t="s">
        <v>47</v>
      </c>
      <c r="C22" s="1">
        <v>386.32600000000002</v>
      </c>
      <c r="D22" s="1">
        <v>2322.4</v>
      </c>
      <c r="E22" s="1">
        <v>0.372</v>
      </c>
      <c r="F22" s="1">
        <v>0</v>
      </c>
    </row>
    <row r="23" spans="1:6">
      <c r="A23" s="1" t="s">
        <v>48</v>
      </c>
      <c r="B23" s="1" t="s">
        <v>49</v>
      </c>
      <c r="C23" s="1">
        <v>421</v>
      </c>
      <c r="D23" s="1">
        <v>2063</v>
      </c>
      <c r="E23" s="1">
        <v>0.436</v>
      </c>
      <c r="F23" s="1">
        <v>0</v>
      </c>
    </row>
    <row r="24" spans="1:6">
      <c r="A24" s="1" t="s">
        <v>50</v>
      </c>
      <c r="B24" s="1" t="s">
        <v>51</v>
      </c>
      <c r="C24" s="1">
        <v>448</v>
      </c>
      <c r="D24" s="1">
        <v>1741.6</v>
      </c>
      <c r="E24" s="1">
        <v>0.497</v>
      </c>
      <c r="F24" s="1">
        <v>0</v>
      </c>
    </row>
    <row r="25" spans="1:6">
      <c r="A25" s="1" t="s">
        <v>52</v>
      </c>
      <c r="B25" s="1" t="s">
        <v>53</v>
      </c>
      <c r="C25" s="1">
        <v>396.44</v>
      </c>
      <c r="D25" s="1">
        <v>3953</v>
      </c>
      <c r="E25" s="1">
        <v>0.17599999999999999</v>
      </c>
      <c r="F25" s="1">
        <v>0.92</v>
      </c>
    </row>
    <row r="26" spans="1:6">
      <c r="A26" s="1" t="s">
        <v>54</v>
      </c>
      <c r="B26" s="1" t="s">
        <v>55</v>
      </c>
      <c r="C26" s="1">
        <v>416.86540000000002</v>
      </c>
      <c r="D26" s="1">
        <v>7642.4</v>
      </c>
      <c r="E26" s="1">
        <v>7.0000000000000007E-2</v>
      </c>
      <c r="F26" s="1">
        <v>0</v>
      </c>
    </row>
    <row r="27" spans="1:6">
      <c r="A27" s="1" t="s">
        <v>56</v>
      </c>
      <c r="B27" s="1" t="s">
        <v>57</v>
      </c>
      <c r="C27" s="1">
        <v>632.35</v>
      </c>
      <c r="D27" s="1">
        <v>4520.6000000000004</v>
      </c>
      <c r="E27" s="1">
        <v>0.25319999999999998</v>
      </c>
      <c r="F27" s="1">
        <v>1.69</v>
      </c>
    </row>
    <row r="28" spans="1:6">
      <c r="A28" s="1" t="s">
        <v>58</v>
      </c>
      <c r="B28" s="1" t="s">
        <v>59</v>
      </c>
      <c r="C28" s="1">
        <v>132.86000000000001</v>
      </c>
      <c r="D28" s="1">
        <v>3494</v>
      </c>
      <c r="E28" s="1">
        <v>4.9700000000000001E-2</v>
      </c>
      <c r="F28" s="1">
        <v>0.1</v>
      </c>
    </row>
    <row r="29" spans="1:6">
      <c r="A29" s="1" t="s">
        <v>60</v>
      </c>
      <c r="B29" s="1" t="s">
        <v>61</v>
      </c>
      <c r="C29" s="1">
        <v>304.12819999999999</v>
      </c>
      <c r="D29" s="1">
        <v>7377.3</v>
      </c>
      <c r="E29" s="1">
        <v>0.22394</v>
      </c>
      <c r="F29" s="1">
        <v>0</v>
      </c>
    </row>
    <row r="30" spans="1:6">
      <c r="A30" s="1" t="s">
        <v>62</v>
      </c>
      <c r="B30" s="1" t="s">
        <v>63</v>
      </c>
      <c r="C30" s="1">
        <v>378.77</v>
      </c>
      <c r="D30" s="1">
        <v>6370</v>
      </c>
      <c r="E30" s="1">
        <v>9.7799999999999998E-2</v>
      </c>
      <c r="F30" s="1">
        <v>0.71519999999999995</v>
      </c>
    </row>
    <row r="31" spans="1:6">
      <c r="A31" s="1" t="s">
        <v>64</v>
      </c>
      <c r="B31" s="1" t="s">
        <v>65</v>
      </c>
      <c r="C31" s="1">
        <v>448</v>
      </c>
      <c r="D31" s="1">
        <v>5149.5</v>
      </c>
      <c r="E31" s="1">
        <v>0.16300000000000001</v>
      </c>
      <c r="F31" s="1">
        <v>0.13600000000000001</v>
      </c>
    </row>
    <row r="32" spans="1:6">
      <c r="A32" s="1" t="s">
        <v>66</v>
      </c>
      <c r="B32" s="1" t="s">
        <v>67</v>
      </c>
      <c r="C32" s="1">
        <v>553.6</v>
      </c>
      <c r="D32" s="1">
        <v>4080.5</v>
      </c>
      <c r="E32" s="1">
        <v>0.20960000000000001</v>
      </c>
      <c r="F32" s="1">
        <v>0.3</v>
      </c>
    </row>
    <row r="33" spans="1:6">
      <c r="A33" s="1" t="s">
        <v>68</v>
      </c>
      <c r="B33" s="1" t="s">
        <v>69</v>
      </c>
      <c r="C33" s="1">
        <v>511.72</v>
      </c>
      <c r="D33" s="1">
        <v>4582.8</v>
      </c>
      <c r="E33" s="1">
        <v>0.20200000000000001</v>
      </c>
      <c r="F33" s="1">
        <v>0</v>
      </c>
    </row>
    <row r="34" spans="1:6">
      <c r="A34" s="1" t="s">
        <v>70</v>
      </c>
      <c r="B34" s="1" t="s">
        <v>71</v>
      </c>
      <c r="C34" s="1">
        <v>398.3</v>
      </c>
      <c r="D34" s="1">
        <v>5579.7</v>
      </c>
      <c r="E34" s="1">
        <v>0.1305</v>
      </c>
      <c r="F34" s="1">
        <v>0</v>
      </c>
    </row>
    <row r="35" spans="1:6">
      <c r="A35" s="1" t="s">
        <v>72</v>
      </c>
      <c r="B35" s="1" t="s">
        <v>73</v>
      </c>
      <c r="C35" s="1">
        <v>38.340000000000003</v>
      </c>
      <c r="D35" s="1">
        <v>1679.6</v>
      </c>
      <c r="E35" s="1">
        <v>-0.13600000000000001</v>
      </c>
      <c r="F35" s="1">
        <v>0</v>
      </c>
    </row>
    <row r="36" spans="1:6">
      <c r="A36" s="1" t="s">
        <v>74</v>
      </c>
      <c r="B36" s="1" t="s">
        <v>75</v>
      </c>
      <c r="C36" s="1">
        <v>643.84699999999998</v>
      </c>
      <c r="D36" s="1">
        <v>21661.8</v>
      </c>
      <c r="E36" s="1">
        <v>0.36399999999999999</v>
      </c>
      <c r="F36" s="1">
        <v>1.9</v>
      </c>
    </row>
    <row r="37" spans="1:6">
      <c r="A37" s="1" t="s">
        <v>76</v>
      </c>
      <c r="B37" s="1" t="s">
        <v>77</v>
      </c>
      <c r="C37" s="1">
        <v>586.5</v>
      </c>
      <c r="D37" s="1">
        <v>1347.2</v>
      </c>
      <c r="E37" s="1">
        <v>0.59799999999999998</v>
      </c>
      <c r="F37" s="1">
        <v>1.0900000000000001</v>
      </c>
    </row>
    <row r="38" spans="1:6">
      <c r="A38" s="1" t="s">
        <v>78</v>
      </c>
      <c r="B38" s="1" t="s">
        <v>79</v>
      </c>
      <c r="C38" s="1">
        <v>618.29999999999995</v>
      </c>
      <c r="D38" s="1">
        <v>1093.4000000000001</v>
      </c>
      <c r="E38" s="1">
        <v>0.63700000000000001</v>
      </c>
      <c r="F38" s="1">
        <v>1.349</v>
      </c>
    </row>
    <row r="39" spans="1:6">
      <c r="A39" s="1" t="s">
        <v>80</v>
      </c>
      <c r="B39" s="1" t="s">
        <v>81</v>
      </c>
      <c r="C39" s="1">
        <v>645.78</v>
      </c>
      <c r="D39" s="1">
        <v>961</v>
      </c>
      <c r="E39" s="1">
        <v>0.73599999999999999</v>
      </c>
      <c r="F39" s="1">
        <v>1.5589999999999999</v>
      </c>
    </row>
    <row r="40" spans="1:6">
      <c r="A40" s="1" t="s">
        <v>82</v>
      </c>
      <c r="B40" s="1" t="s">
        <v>83</v>
      </c>
      <c r="C40" s="1">
        <v>736.5</v>
      </c>
      <c r="D40" s="1">
        <v>4950.75</v>
      </c>
      <c r="E40" s="1">
        <v>1.0129999999999999</v>
      </c>
      <c r="F40" s="1">
        <v>2.7899400000000001</v>
      </c>
    </row>
    <row r="41" spans="1:6">
      <c r="A41" s="1" t="s">
        <v>84</v>
      </c>
      <c r="B41" s="1" t="s">
        <v>85</v>
      </c>
      <c r="C41" s="1">
        <v>617.70000000000005</v>
      </c>
      <c r="D41" s="1">
        <v>2103</v>
      </c>
      <c r="E41" s="1">
        <v>0.4884</v>
      </c>
      <c r="F41" s="1">
        <v>7.0000000000000007E-2</v>
      </c>
    </row>
    <row r="42" spans="1:6">
      <c r="A42" s="1" t="s">
        <v>86</v>
      </c>
      <c r="B42" s="1" t="s">
        <v>87</v>
      </c>
      <c r="C42" s="1">
        <v>466.7</v>
      </c>
      <c r="D42" s="1">
        <v>3720.2</v>
      </c>
      <c r="E42" s="1">
        <v>0.28999999999999998</v>
      </c>
      <c r="F42" s="1">
        <v>1.151</v>
      </c>
    </row>
    <row r="43" spans="1:6">
      <c r="A43" s="1" t="s">
        <v>88</v>
      </c>
      <c r="B43" s="1" t="s">
        <v>89</v>
      </c>
      <c r="C43" s="1">
        <v>557</v>
      </c>
      <c r="D43" s="1">
        <v>4908.8</v>
      </c>
      <c r="E43" s="1">
        <v>0.34599999999999997</v>
      </c>
      <c r="F43" s="1">
        <v>0.89900000000000002</v>
      </c>
    </row>
    <row r="44" spans="1:6">
      <c r="A44" s="1" t="s">
        <v>90</v>
      </c>
      <c r="B44" s="1" t="s">
        <v>91</v>
      </c>
      <c r="C44" s="1">
        <v>400.37799999999999</v>
      </c>
      <c r="D44" s="1">
        <v>5336.8450000000003</v>
      </c>
      <c r="E44" s="1">
        <v>0.19600000000000001</v>
      </c>
      <c r="F44" s="1">
        <v>1.3009999999999999</v>
      </c>
    </row>
    <row r="45" spans="1:6">
      <c r="A45" s="1" t="s">
        <v>92</v>
      </c>
      <c r="B45" s="1" t="s">
        <v>93</v>
      </c>
      <c r="C45" s="1">
        <v>617.12</v>
      </c>
      <c r="D45" s="1">
        <v>3622.4</v>
      </c>
      <c r="E45" s="1">
        <v>0.30499999999999999</v>
      </c>
      <c r="F45" s="1">
        <v>0.6</v>
      </c>
    </row>
    <row r="46" spans="1:6">
      <c r="A46" s="1" t="s">
        <v>94</v>
      </c>
      <c r="B46" s="1" t="s">
        <v>95</v>
      </c>
      <c r="C46" s="1">
        <v>719</v>
      </c>
      <c r="D46" s="1">
        <v>10508.7</v>
      </c>
      <c r="E46" s="1">
        <v>0.61899999999999999</v>
      </c>
      <c r="F46" s="1">
        <v>2.41</v>
      </c>
    </row>
    <row r="47" spans="1:6">
      <c r="A47" s="1" t="s">
        <v>96</v>
      </c>
      <c r="B47" s="1" t="s">
        <v>97</v>
      </c>
      <c r="C47" s="1">
        <v>305.322</v>
      </c>
      <c r="D47" s="1">
        <v>4872.2</v>
      </c>
      <c r="E47" s="1">
        <v>9.9500000000000005E-2</v>
      </c>
      <c r="F47" s="1">
        <v>0</v>
      </c>
    </row>
    <row r="48" spans="1:6">
      <c r="A48" s="1" t="s">
        <v>98</v>
      </c>
      <c r="B48" s="1" t="s">
        <v>99</v>
      </c>
      <c r="C48" s="1">
        <v>514.71</v>
      </c>
      <c r="D48" s="1">
        <v>6268</v>
      </c>
      <c r="E48" s="1">
        <v>0.64600000000000002</v>
      </c>
      <c r="F48" s="1">
        <v>1.6909000000000001</v>
      </c>
    </row>
    <row r="49" spans="1:6">
      <c r="A49" s="1" t="s">
        <v>100</v>
      </c>
      <c r="B49" s="1" t="s">
        <v>101</v>
      </c>
      <c r="C49" s="1">
        <v>282.35000000000002</v>
      </c>
      <c r="D49" s="1">
        <v>5041.8</v>
      </c>
      <c r="E49" s="1">
        <v>8.6599999999999996E-2</v>
      </c>
      <c r="F49" s="1">
        <v>0</v>
      </c>
    </row>
    <row r="50" spans="1:6">
      <c r="A50" s="1" t="s">
        <v>102</v>
      </c>
      <c r="B50" s="1" t="s">
        <v>103</v>
      </c>
      <c r="C50" s="1">
        <v>468.92</v>
      </c>
      <c r="D50" s="1">
        <v>3704.7</v>
      </c>
      <c r="E50" s="1">
        <v>0.21</v>
      </c>
      <c r="F50" s="1">
        <v>1.89</v>
      </c>
    </row>
    <row r="51" spans="1:6">
      <c r="A51" s="1" t="s">
        <v>104</v>
      </c>
      <c r="B51" s="1" t="s">
        <v>105</v>
      </c>
      <c r="C51" s="1">
        <v>144.41399999999999</v>
      </c>
      <c r="D51" s="1">
        <v>5172.3999999999996</v>
      </c>
      <c r="E51" s="1">
        <v>4.4900000000000002E-2</v>
      </c>
      <c r="F51" s="1">
        <v>0</v>
      </c>
    </row>
    <row r="52" spans="1:6">
      <c r="A52" s="1" t="s">
        <v>106</v>
      </c>
      <c r="B52" s="1" t="s">
        <v>107</v>
      </c>
      <c r="C52" s="1">
        <v>373.1</v>
      </c>
      <c r="D52" s="1">
        <v>9000</v>
      </c>
      <c r="E52" s="1">
        <v>0.10050000000000001</v>
      </c>
      <c r="F52" s="1">
        <v>0.97</v>
      </c>
    </row>
    <row r="53" spans="1:6">
      <c r="A53" s="1" t="s">
        <v>108</v>
      </c>
      <c r="B53" s="1" t="s">
        <v>109</v>
      </c>
      <c r="C53" s="1">
        <v>324.68</v>
      </c>
      <c r="D53" s="1">
        <v>8313.5</v>
      </c>
      <c r="E53" s="1">
        <v>0.129</v>
      </c>
      <c r="F53" s="1">
        <v>1.079</v>
      </c>
    </row>
    <row r="54" spans="1:6">
      <c r="A54" s="1" t="s">
        <v>110</v>
      </c>
      <c r="B54" s="1" t="s">
        <v>111</v>
      </c>
      <c r="C54" s="1">
        <v>5.1952999999999996</v>
      </c>
      <c r="D54" s="1">
        <v>228.32</v>
      </c>
      <c r="E54" s="1">
        <v>-0.3836</v>
      </c>
      <c r="F54" s="1">
        <v>0</v>
      </c>
    </row>
    <row r="55" spans="1:6">
      <c r="A55" s="1" t="s">
        <v>112</v>
      </c>
      <c r="B55" s="1" t="s">
        <v>113</v>
      </c>
      <c r="C55" s="1">
        <v>540.20000000000005</v>
      </c>
      <c r="D55" s="1">
        <v>2735.73</v>
      </c>
      <c r="E55" s="1">
        <v>0.34899999999999998</v>
      </c>
      <c r="F55" s="1">
        <v>7.0000000000000007E-2</v>
      </c>
    </row>
    <row r="56" spans="1:6">
      <c r="A56" s="1" t="s">
        <v>114</v>
      </c>
      <c r="B56" s="1" t="s">
        <v>115</v>
      </c>
      <c r="C56" s="1">
        <v>507.82</v>
      </c>
      <c r="D56" s="1">
        <v>3044.1</v>
      </c>
      <c r="E56" s="1">
        <v>0.3</v>
      </c>
      <c r="F56" s="1">
        <v>7.0000000000000007E-2</v>
      </c>
    </row>
    <row r="57" spans="1:6">
      <c r="A57" s="1" t="s">
        <v>116</v>
      </c>
      <c r="B57" s="1" t="s">
        <v>117</v>
      </c>
      <c r="C57" s="1">
        <v>33.145000000000003</v>
      </c>
      <c r="D57" s="1">
        <v>1296.4000000000001</v>
      </c>
      <c r="E57" s="1">
        <v>-0.219</v>
      </c>
      <c r="F57" s="1">
        <v>0</v>
      </c>
    </row>
    <row r="58" spans="1:6">
      <c r="A58" s="1" t="s">
        <v>118</v>
      </c>
      <c r="B58" s="1" t="s">
        <v>119</v>
      </c>
      <c r="C58" s="1">
        <v>418.09</v>
      </c>
      <c r="D58" s="1">
        <v>4009.8</v>
      </c>
      <c r="E58" s="1">
        <v>0.193</v>
      </c>
      <c r="F58" s="1">
        <v>0.5</v>
      </c>
    </row>
    <row r="59" spans="1:6">
      <c r="A59" s="1" t="s">
        <v>120</v>
      </c>
      <c r="B59" s="1" t="s">
        <v>121</v>
      </c>
      <c r="C59" s="1">
        <v>497.7</v>
      </c>
      <c r="D59" s="1">
        <v>3040</v>
      </c>
      <c r="E59" s="1">
        <v>0.2797</v>
      </c>
      <c r="F59" s="1">
        <v>0</v>
      </c>
    </row>
    <row r="60" spans="1:6">
      <c r="A60" s="1" t="s">
        <v>122</v>
      </c>
      <c r="B60" s="1" t="s">
        <v>123</v>
      </c>
      <c r="C60" s="1">
        <v>544</v>
      </c>
      <c r="D60" s="1">
        <v>2572</v>
      </c>
      <c r="E60" s="1">
        <v>0.30299999999999999</v>
      </c>
      <c r="F60" s="1">
        <v>0</v>
      </c>
    </row>
    <row r="61" spans="1:6">
      <c r="A61" s="1" t="s">
        <v>124</v>
      </c>
      <c r="B61" s="1" t="s">
        <v>125</v>
      </c>
      <c r="C61" s="1">
        <v>460.35</v>
      </c>
      <c r="D61" s="1">
        <v>3378</v>
      </c>
      <c r="E61" s="1">
        <v>0.22739999999999999</v>
      </c>
      <c r="F61" s="1">
        <v>0.11</v>
      </c>
    </row>
    <row r="62" spans="1:6">
      <c r="A62" s="1" t="s">
        <v>126</v>
      </c>
      <c r="B62" s="1" t="s">
        <v>127</v>
      </c>
      <c r="C62" s="1">
        <v>407.81</v>
      </c>
      <c r="D62" s="1">
        <v>3629</v>
      </c>
      <c r="E62" s="1">
        <v>0.184</v>
      </c>
      <c r="F62" s="1">
        <v>0.13200000000000001</v>
      </c>
    </row>
    <row r="63" spans="1:6">
      <c r="A63" s="1" t="s">
        <v>128</v>
      </c>
      <c r="B63" s="1" t="s">
        <v>129</v>
      </c>
      <c r="C63" s="1">
        <v>209.48</v>
      </c>
      <c r="D63" s="1">
        <v>5525</v>
      </c>
      <c r="E63" s="1">
        <v>-8.9400000000000005E-4</v>
      </c>
      <c r="F63" s="1">
        <v>0</v>
      </c>
    </row>
    <row r="64" spans="1:6">
      <c r="A64" s="1" t="s">
        <v>130</v>
      </c>
      <c r="B64" s="1" t="s">
        <v>131</v>
      </c>
      <c r="C64" s="1">
        <v>599.4</v>
      </c>
      <c r="D64" s="1">
        <v>1144</v>
      </c>
      <c r="E64" s="1">
        <v>0.63500000000000001</v>
      </c>
      <c r="F64" s="1">
        <v>1.1200000000000001</v>
      </c>
    </row>
    <row r="65" spans="1:6">
      <c r="A65" s="1" t="s">
        <v>132</v>
      </c>
      <c r="B65" s="1" t="s">
        <v>133</v>
      </c>
      <c r="C65" s="1">
        <v>628.96</v>
      </c>
      <c r="D65" s="1">
        <v>961.12</v>
      </c>
      <c r="E65" s="1">
        <v>0.72299999999999998</v>
      </c>
      <c r="F65" s="1">
        <v>1.2230000000000001</v>
      </c>
    </row>
    <row r="66" spans="1:6">
      <c r="A66" s="1" t="s">
        <v>134</v>
      </c>
      <c r="B66" s="1" t="s">
        <v>135</v>
      </c>
      <c r="C66" s="1">
        <v>653.20000000000005</v>
      </c>
      <c r="D66" s="1">
        <v>840.37</v>
      </c>
      <c r="E66" s="1">
        <v>0.80600000000000005</v>
      </c>
      <c r="F66" s="1">
        <v>1.3080000000000001</v>
      </c>
    </row>
    <row r="67" spans="1:6">
      <c r="A67" s="1" t="s">
        <v>136</v>
      </c>
      <c r="B67" s="1" t="s">
        <v>137</v>
      </c>
      <c r="C67" s="1">
        <v>565.36090000000002</v>
      </c>
      <c r="D67" s="1">
        <v>1437.5</v>
      </c>
      <c r="E67" s="1">
        <v>0.52400000000000002</v>
      </c>
      <c r="F67" s="1">
        <v>0.99</v>
      </c>
    </row>
    <row r="68" spans="1:6">
      <c r="A68" s="1" t="s">
        <v>138</v>
      </c>
      <c r="B68" s="1" t="s">
        <v>139</v>
      </c>
      <c r="C68" s="1">
        <v>671.4</v>
      </c>
      <c r="D68" s="1">
        <v>8125</v>
      </c>
      <c r="E68" s="1">
        <v>0.57299999999999995</v>
      </c>
      <c r="F68" s="1">
        <v>2.36992</v>
      </c>
    </row>
    <row r="69" spans="1:6">
      <c r="A69" s="1" t="s">
        <v>140</v>
      </c>
      <c r="B69" s="1" t="s">
        <v>141</v>
      </c>
      <c r="C69" s="1">
        <v>190.56399999999999</v>
      </c>
      <c r="D69" s="1">
        <v>4599.2</v>
      </c>
      <c r="E69" s="1">
        <v>1.142E-2</v>
      </c>
      <c r="F69" s="1">
        <v>0</v>
      </c>
    </row>
    <row r="70" spans="1:6">
      <c r="A70" s="1" t="s">
        <v>142</v>
      </c>
      <c r="B70" s="1" t="s">
        <v>143</v>
      </c>
      <c r="C70" s="1">
        <v>512.6</v>
      </c>
      <c r="D70" s="1">
        <v>8103.5</v>
      </c>
      <c r="E70" s="1">
        <v>0.5625</v>
      </c>
      <c r="F70" s="1">
        <v>1.7</v>
      </c>
    </row>
    <row r="71" spans="1:6">
      <c r="A71" s="1" t="s">
        <v>144</v>
      </c>
      <c r="B71" s="1" t="s">
        <v>145</v>
      </c>
      <c r="C71" s="1">
        <v>799</v>
      </c>
      <c r="D71" s="1">
        <v>1341</v>
      </c>
      <c r="E71" s="1">
        <v>0.80500000000000005</v>
      </c>
      <c r="F71" s="1">
        <v>1.79</v>
      </c>
    </row>
    <row r="72" spans="1:6">
      <c r="A72" s="1" t="s">
        <v>146</v>
      </c>
      <c r="B72" s="1" t="s">
        <v>147</v>
      </c>
      <c r="C72" s="1">
        <v>772</v>
      </c>
      <c r="D72" s="1">
        <v>1369</v>
      </c>
      <c r="E72" s="1">
        <v>1.1399999999999999</v>
      </c>
      <c r="F72" s="1">
        <v>1.54</v>
      </c>
    </row>
    <row r="73" spans="1:6">
      <c r="A73" s="1" t="s">
        <v>148</v>
      </c>
      <c r="B73" s="1" t="s">
        <v>149</v>
      </c>
      <c r="C73" s="1">
        <v>518.70000000000005</v>
      </c>
      <c r="D73" s="1">
        <v>1931.13</v>
      </c>
      <c r="E73" s="1">
        <v>0.41799999999999998</v>
      </c>
      <c r="F73" s="1">
        <v>0.80100000000000005</v>
      </c>
    </row>
    <row r="74" spans="1:6">
      <c r="A74" s="1" t="s">
        <v>150</v>
      </c>
      <c r="B74" s="1" t="s">
        <v>151</v>
      </c>
      <c r="C74" s="1">
        <v>782</v>
      </c>
      <c r="D74" s="1">
        <v>1246</v>
      </c>
      <c r="E74" s="1">
        <v>0.90600000000000003</v>
      </c>
      <c r="F74" s="1">
        <v>1.63</v>
      </c>
    </row>
    <row r="75" spans="1:6">
      <c r="A75" s="1" t="s">
        <v>152</v>
      </c>
      <c r="B75" s="1" t="s">
        <v>153</v>
      </c>
      <c r="C75" s="1">
        <v>755</v>
      </c>
      <c r="D75" s="1">
        <v>1350</v>
      </c>
      <c r="E75" s="1">
        <v>0.91</v>
      </c>
      <c r="F75" s="1">
        <v>1.54</v>
      </c>
    </row>
    <row r="76" spans="1:6">
      <c r="A76" s="1" t="s">
        <v>154</v>
      </c>
      <c r="B76" s="1" t="s">
        <v>155</v>
      </c>
      <c r="C76" s="1">
        <v>775</v>
      </c>
      <c r="D76" s="1">
        <v>1239</v>
      </c>
      <c r="E76" s="1">
        <v>1.02</v>
      </c>
      <c r="F76" s="1">
        <v>1.54</v>
      </c>
    </row>
    <row r="77" spans="1:6">
      <c r="A77" s="1" t="s">
        <v>156</v>
      </c>
      <c r="B77" s="1" t="s">
        <v>157</v>
      </c>
      <c r="C77" s="1">
        <v>616.89</v>
      </c>
      <c r="D77" s="1">
        <v>3534.6</v>
      </c>
      <c r="E77" s="1">
        <v>0.32600000000000001</v>
      </c>
      <c r="F77" s="1">
        <v>0.3</v>
      </c>
    </row>
    <row r="78" spans="1:6">
      <c r="A78" s="1" t="s">
        <v>158</v>
      </c>
      <c r="B78" s="1" t="s">
        <v>159</v>
      </c>
      <c r="C78" s="1">
        <v>309.52</v>
      </c>
      <c r="D78" s="1">
        <v>7245</v>
      </c>
      <c r="E78" s="1">
        <v>0.16200000000000001</v>
      </c>
      <c r="F78" s="1">
        <v>0.1608</v>
      </c>
    </row>
    <row r="79" spans="1:6">
      <c r="A79" s="1" t="s">
        <v>160</v>
      </c>
      <c r="B79" s="1" t="s">
        <v>161</v>
      </c>
      <c r="C79" s="1">
        <v>44.4</v>
      </c>
      <c r="D79" s="1">
        <v>2661.63</v>
      </c>
      <c r="E79" s="1">
        <v>-3.5499999999999997E-2</v>
      </c>
      <c r="F79" s="1">
        <v>0</v>
      </c>
    </row>
    <row r="80" spans="1:6">
      <c r="A80" s="1" t="s">
        <v>162</v>
      </c>
      <c r="B80" s="1" t="s">
        <v>163</v>
      </c>
      <c r="C80" s="1">
        <v>433.74</v>
      </c>
      <c r="D80" s="1">
        <v>3196</v>
      </c>
      <c r="E80" s="1">
        <v>0.1961</v>
      </c>
      <c r="F80" s="1">
        <v>0</v>
      </c>
    </row>
    <row r="81" spans="1:6">
      <c r="A81" s="1" t="s">
        <v>164</v>
      </c>
      <c r="B81" s="1" t="s">
        <v>165</v>
      </c>
      <c r="C81" s="1">
        <v>234</v>
      </c>
      <c r="D81" s="1">
        <v>4460.7</v>
      </c>
      <c r="E81" s="1">
        <v>0.126</v>
      </c>
      <c r="F81" s="1">
        <v>0.23499999999999999</v>
      </c>
    </row>
    <row r="82" spans="1:6">
      <c r="A82" s="1" t="s">
        <v>166</v>
      </c>
      <c r="B82" s="1" t="s">
        <v>167</v>
      </c>
      <c r="C82" s="1">
        <v>126.19199999999999</v>
      </c>
      <c r="D82" s="1">
        <v>3395.8</v>
      </c>
      <c r="E82" s="1">
        <v>3.7199999999999997E-2</v>
      </c>
      <c r="F82" s="1">
        <v>0</v>
      </c>
    </row>
    <row r="83" spans="1:6">
      <c r="A83" s="1" t="s">
        <v>168</v>
      </c>
      <c r="B83" s="1" t="s">
        <v>169</v>
      </c>
      <c r="C83" s="1">
        <v>594.54999999999995</v>
      </c>
      <c r="D83" s="1">
        <v>2281</v>
      </c>
      <c r="E83" s="1">
        <v>0.44330000000000003</v>
      </c>
      <c r="F83" s="1">
        <v>7.0000000000000007E-2</v>
      </c>
    </row>
    <row r="84" spans="1:6">
      <c r="A84" s="1" t="s">
        <v>170</v>
      </c>
      <c r="B84" s="1" t="s">
        <v>171</v>
      </c>
      <c r="C84" s="1">
        <v>441.81</v>
      </c>
      <c r="D84" s="1">
        <v>1869</v>
      </c>
      <c r="E84" s="1">
        <v>0.47099999999999997</v>
      </c>
      <c r="F84" s="1">
        <v>0.43</v>
      </c>
    </row>
    <row r="85" spans="1:6">
      <c r="A85" s="1" t="s">
        <v>172</v>
      </c>
      <c r="B85" s="1" t="s">
        <v>173</v>
      </c>
      <c r="C85" s="1">
        <v>568.74</v>
      </c>
      <c r="D85" s="1">
        <v>2483.59</v>
      </c>
      <c r="E85" s="1">
        <v>0.39800000000000002</v>
      </c>
      <c r="F85" s="1">
        <v>7.0000000000000007E-2</v>
      </c>
    </row>
    <row r="86" spans="1:6">
      <c r="A86" s="1" t="s">
        <v>174</v>
      </c>
      <c r="B86" s="1" t="s">
        <v>175</v>
      </c>
      <c r="C86" s="1">
        <v>33.22</v>
      </c>
      <c r="D86" s="1">
        <v>1310.6500000000001</v>
      </c>
      <c r="E86" s="1">
        <v>-0.218</v>
      </c>
      <c r="F86" s="1">
        <v>0</v>
      </c>
    </row>
    <row r="87" spans="1:6">
      <c r="A87" s="1" t="s">
        <v>176</v>
      </c>
      <c r="B87" s="1" t="s">
        <v>177</v>
      </c>
      <c r="C87" s="1">
        <v>154.58099999999999</v>
      </c>
      <c r="D87" s="1">
        <v>5043</v>
      </c>
      <c r="E87" s="1">
        <v>2.2200000000000001E-2</v>
      </c>
      <c r="F87" s="1">
        <v>0</v>
      </c>
    </row>
    <row r="88" spans="1:6">
      <c r="A88" s="1" t="s">
        <v>178</v>
      </c>
      <c r="B88" s="1" t="s">
        <v>179</v>
      </c>
      <c r="C88" s="1">
        <v>630.25900000000001</v>
      </c>
      <c r="D88" s="1">
        <v>3737.5</v>
      </c>
      <c r="E88" s="1">
        <v>0.312</v>
      </c>
      <c r="F88" s="1">
        <v>0.63</v>
      </c>
    </row>
    <row r="89" spans="1:6">
      <c r="A89" s="1" t="s">
        <v>180</v>
      </c>
      <c r="B89" s="1" t="s">
        <v>181</v>
      </c>
      <c r="C89" s="1">
        <v>32.938000000000002</v>
      </c>
      <c r="D89" s="1">
        <v>1285.8</v>
      </c>
      <c r="E89" s="1">
        <v>-0.219</v>
      </c>
      <c r="F89" s="1">
        <v>0</v>
      </c>
    </row>
    <row r="90" spans="1:6">
      <c r="A90" s="1" t="s">
        <v>182</v>
      </c>
      <c r="B90" s="1" t="s">
        <v>183</v>
      </c>
      <c r="C90" s="1">
        <v>469.7</v>
      </c>
      <c r="D90" s="1">
        <v>3367.5</v>
      </c>
      <c r="E90" s="1">
        <v>0.251</v>
      </c>
      <c r="F90" s="1">
        <v>7.0000000000000007E-2</v>
      </c>
    </row>
    <row r="91" spans="1:6">
      <c r="A91" s="1" t="s">
        <v>184</v>
      </c>
      <c r="B91" s="1" t="s">
        <v>185</v>
      </c>
      <c r="C91" s="1">
        <v>398</v>
      </c>
      <c r="D91" s="1">
        <v>5215.6000000000004</v>
      </c>
      <c r="E91" s="1">
        <v>0.115</v>
      </c>
      <c r="F91" s="1">
        <v>0.2</v>
      </c>
    </row>
    <row r="92" spans="1:6">
      <c r="A92" s="1" t="s">
        <v>186</v>
      </c>
      <c r="B92" s="1" t="s">
        <v>187</v>
      </c>
      <c r="C92" s="1">
        <v>369.89</v>
      </c>
      <c r="D92" s="1">
        <v>4251.2</v>
      </c>
      <c r="E92" s="1">
        <v>0.15210000000000001</v>
      </c>
      <c r="F92" s="1">
        <v>8.4000000000000005E-2</v>
      </c>
    </row>
    <row r="93" spans="1:6">
      <c r="A93" s="1" t="s">
        <v>188</v>
      </c>
      <c r="B93" s="1" t="s">
        <v>189</v>
      </c>
      <c r="C93" s="1">
        <v>364.21100000000001</v>
      </c>
      <c r="D93" s="1">
        <v>4555</v>
      </c>
      <c r="E93" s="1">
        <v>0.14599999999999999</v>
      </c>
      <c r="F93" s="1">
        <v>0.36599999999999999</v>
      </c>
    </row>
    <row r="94" spans="1:6">
      <c r="A94" s="1" t="s">
        <v>190</v>
      </c>
      <c r="B94" s="1" t="s">
        <v>191</v>
      </c>
      <c r="C94" s="1">
        <v>488.11</v>
      </c>
      <c r="D94" s="1">
        <v>5436.6</v>
      </c>
      <c r="E94" s="1">
        <v>0.249</v>
      </c>
      <c r="F94" s="1">
        <v>2</v>
      </c>
    </row>
    <row r="95" spans="1:6">
      <c r="A95" s="1" t="s">
        <v>192</v>
      </c>
      <c r="B95" s="1" t="s">
        <v>193</v>
      </c>
      <c r="C95" s="1">
        <v>402.38</v>
      </c>
      <c r="D95" s="1">
        <v>5626</v>
      </c>
      <c r="E95" s="1">
        <v>0.20399999999999999</v>
      </c>
      <c r="F95" s="1">
        <v>0.78100000000000003</v>
      </c>
    </row>
    <row r="96" spans="1:6">
      <c r="A96" s="1" t="s">
        <v>194</v>
      </c>
      <c r="B96" s="1" t="s">
        <v>195</v>
      </c>
      <c r="C96" s="1">
        <v>616.16800000000001</v>
      </c>
      <c r="D96" s="1">
        <v>3531.5</v>
      </c>
      <c r="E96" s="1">
        <v>0.32400000000000001</v>
      </c>
      <c r="F96" s="1">
        <v>0</v>
      </c>
    </row>
    <row r="97" spans="1:6">
      <c r="A97" s="1" t="s">
        <v>196</v>
      </c>
      <c r="B97" s="1" t="s">
        <v>197</v>
      </c>
      <c r="C97" s="1">
        <v>471.11</v>
      </c>
      <c r="D97" s="1">
        <v>4407.6379999999999</v>
      </c>
      <c r="E97" s="1">
        <v>0.18875</v>
      </c>
      <c r="F97" s="1">
        <v>0.45</v>
      </c>
    </row>
    <row r="98" spans="1:6">
      <c r="A98" s="1" t="s">
        <v>198</v>
      </c>
      <c r="B98" s="1" t="s">
        <v>199</v>
      </c>
      <c r="C98" s="1">
        <v>331.73</v>
      </c>
      <c r="D98" s="1">
        <v>4542.6000000000004</v>
      </c>
      <c r="E98" s="1">
        <v>0.26100000000000001</v>
      </c>
      <c r="F98" s="1">
        <v>1.4</v>
      </c>
    </row>
    <row r="99" spans="1:6">
      <c r="A99" s="1" t="s">
        <v>200</v>
      </c>
      <c r="B99" s="1" t="s">
        <v>201</v>
      </c>
      <c r="C99" s="1">
        <v>487.21</v>
      </c>
      <c r="D99" s="1">
        <v>3392.2</v>
      </c>
      <c r="E99" s="1">
        <v>0.25252999999999998</v>
      </c>
      <c r="F99" s="1">
        <v>0.80300000000000005</v>
      </c>
    </row>
    <row r="100" spans="1:6">
      <c r="A100" s="1" t="s">
        <v>202</v>
      </c>
      <c r="B100" s="1" t="s">
        <v>203</v>
      </c>
      <c r="C100" s="1">
        <v>348.82</v>
      </c>
      <c r="D100" s="1">
        <v>5173.7</v>
      </c>
      <c r="E100" s="1">
        <v>0.245</v>
      </c>
      <c r="F100" s="1">
        <v>0.19800000000000001</v>
      </c>
    </row>
    <row r="101" spans="1:6">
      <c r="A101" s="1" t="s">
        <v>204</v>
      </c>
      <c r="B101" s="1" t="s">
        <v>205</v>
      </c>
      <c r="C101" s="1">
        <v>418.83</v>
      </c>
      <c r="D101" s="1">
        <v>3257</v>
      </c>
      <c r="E101" s="1">
        <v>0.25230000000000002</v>
      </c>
      <c r="F101" s="1">
        <v>0.65800000000000003</v>
      </c>
    </row>
    <row r="102" spans="1:6">
      <c r="A102" s="1" t="s">
        <v>206</v>
      </c>
      <c r="B102" s="1" t="s">
        <v>207</v>
      </c>
      <c r="C102" s="1">
        <v>353.1</v>
      </c>
      <c r="D102" s="1">
        <v>3129</v>
      </c>
      <c r="E102" s="1">
        <v>0.248</v>
      </c>
      <c r="F102" s="1">
        <v>0.52</v>
      </c>
    </row>
    <row r="103" spans="1:6">
      <c r="A103" s="1" t="s">
        <v>208</v>
      </c>
      <c r="B103" s="1" t="s">
        <v>209</v>
      </c>
      <c r="C103" s="1">
        <v>293.02999999999997</v>
      </c>
      <c r="D103" s="1">
        <v>3048</v>
      </c>
      <c r="E103" s="1">
        <v>0.25659999999999999</v>
      </c>
      <c r="F103" s="1">
        <v>0</v>
      </c>
    </row>
    <row r="104" spans="1:6">
      <c r="A104" s="1" t="s">
        <v>210</v>
      </c>
      <c r="B104" s="1" t="s">
        <v>211</v>
      </c>
      <c r="C104" s="1">
        <v>385.12</v>
      </c>
      <c r="D104" s="1">
        <v>4136.1000000000004</v>
      </c>
      <c r="E104" s="1">
        <v>0.17948</v>
      </c>
      <c r="F104" s="1">
        <v>0.51</v>
      </c>
    </row>
    <row r="105" spans="1:6">
      <c r="A105" s="1" t="s">
        <v>212</v>
      </c>
      <c r="B105" s="1" t="s">
        <v>213</v>
      </c>
      <c r="C105" s="1">
        <v>358.9</v>
      </c>
      <c r="D105" s="1">
        <v>3149.5279999999998</v>
      </c>
      <c r="E105" s="1">
        <v>0.33300000000000002</v>
      </c>
      <c r="F105" s="1">
        <v>1.0880000000000001</v>
      </c>
    </row>
    <row r="106" spans="1:6">
      <c r="A106" s="1" t="s">
        <v>214</v>
      </c>
      <c r="B106" s="1" t="s">
        <v>215</v>
      </c>
      <c r="C106" s="1">
        <v>428.69</v>
      </c>
      <c r="D106" s="1">
        <v>3337</v>
      </c>
      <c r="E106" s="1">
        <v>0.32200000000000001</v>
      </c>
      <c r="F106" s="1">
        <v>1.47</v>
      </c>
    </row>
    <row r="107" spans="1:6">
      <c r="A107" s="1" t="s">
        <v>216</v>
      </c>
      <c r="B107" s="1" t="s">
        <v>217</v>
      </c>
      <c r="C107" s="1">
        <v>456.83100000000002</v>
      </c>
      <c r="D107" s="1">
        <v>3661.8</v>
      </c>
      <c r="E107" s="1">
        <v>0.28192</v>
      </c>
      <c r="F107" s="1">
        <v>1.3560000000000001</v>
      </c>
    </row>
    <row r="108" spans="1:6">
      <c r="A108" s="1" t="s">
        <v>218</v>
      </c>
      <c r="B108" s="1" t="s">
        <v>219</v>
      </c>
      <c r="C108" s="1">
        <v>439.6</v>
      </c>
      <c r="D108" s="1">
        <v>3623.7</v>
      </c>
      <c r="E108" s="1">
        <v>0.30249999999999999</v>
      </c>
      <c r="F108" s="1">
        <v>1.1200000000000001</v>
      </c>
    </row>
    <row r="109" spans="1:6">
      <c r="A109" s="1" t="s">
        <v>220</v>
      </c>
      <c r="B109" s="1" t="s">
        <v>221</v>
      </c>
      <c r="C109" s="1">
        <v>367.85</v>
      </c>
      <c r="D109" s="1">
        <v>3382.2</v>
      </c>
      <c r="E109" s="1">
        <v>0.27600000000000002</v>
      </c>
      <c r="F109" s="1">
        <v>2.48</v>
      </c>
    </row>
    <row r="110" spans="1:6">
      <c r="A110" s="1" t="s">
        <v>222</v>
      </c>
      <c r="B110" s="1" t="s">
        <v>223</v>
      </c>
      <c r="C110" s="1">
        <v>382.51299999999998</v>
      </c>
      <c r="D110" s="1">
        <v>3634.9</v>
      </c>
      <c r="E110" s="1">
        <v>0.313</v>
      </c>
      <c r="F110" s="1">
        <v>1.27</v>
      </c>
    </row>
    <row r="111" spans="1:6">
      <c r="A111" s="1" t="s">
        <v>224</v>
      </c>
      <c r="B111" s="1" t="s">
        <v>225</v>
      </c>
      <c r="C111" s="1">
        <v>423.27</v>
      </c>
      <c r="D111" s="1">
        <v>3530.6</v>
      </c>
      <c r="E111" s="1">
        <v>0.32700000000000001</v>
      </c>
      <c r="F111" s="1">
        <v>2.9</v>
      </c>
    </row>
    <row r="112" spans="1:6">
      <c r="A112" s="1" t="s">
        <v>226</v>
      </c>
      <c r="B112" s="1" t="s">
        <v>227</v>
      </c>
      <c r="C112" s="1">
        <v>395.42500000000001</v>
      </c>
      <c r="D112" s="1">
        <v>3624.2950000000001</v>
      </c>
      <c r="E112" s="1">
        <v>0.28810000000000002</v>
      </c>
      <c r="F112" s="1">
        <v>1.4690000000000001</v>
      </c>
    </row>
    <row r="113" spans="1:6">
      <c r="A113" s="1" t="s">
        <v>228</v>
      </c>
      <c r="B113" s="1" t="s">
        <v>229</v>
      </c>
      <c r="C113" s="1">
        <v>376.93</v>
      </c>
      <c r="D113" s="1">
        <v>3517.9</v>
      </c>
      <c r="E113" s="1">
        <v>0.26040000000000002</v>
      </c>
      <c r="F113" s="1">
        <v>2.4300000000000002</v>
      </c>
    </row>
    <row r="114" spans="1:6">
      <c r="A114" s="1" t="s">
        <v>230</v>
      </c>
      <c r="B114" s="1" t="s">
        <v>231</v>
      </c>
      <c r="C114" s="1">
        <v>339.173</v>
      </c>
      <c r="D114" s="1">
        <v>3617.7</v>
      </c>
      <c r="E114" s="1">
        <v>0.30520000000000003</v>
      </c>
      <c r="F114" s="1">
        <v>1.5629999999999999</v>
      </c>
    </row>
    <row r="115" spans="1:6">
      <c r="A115" s="1" t="s">
        <v>232</v>
      </c>
      <c r="B115" s="1" t="s">
        <v>233</v>
      </c>
      <c r="C115" s="1">
        <v>302</v>
      </c>
      <c r="D115" s="1">
        <v>3879</v>
      </c>
      <c r="E115" s="1">
        <v>0.17230000000000001</v>
      </c>
      <c r="F115" s="1">
        <v>0.51</v>
      </c>
    </row>
    <row r="116" spans="1:6">
      <c r="A116" s="1" t="s">
        <v>234</v>
      </c>
      <c r="B116" s="1" t="s">
        <v>235</v>
      </c>
      <c r="C116" s="1">
        <v>444.5</v>
      </c>
      <c r="D116" s="1">
        <v>2903</v>
      </c>
      <c r="E116" s="1">
        <v>0.38600000000000001</v>
      </c>
      <c r="F116" s="1">
        <v>2.92</v>
      </c>
    </row>
    <row r="117" spans="1:6">
      <c r="A117" s="1" t="s">
        <v>236</v>
      </c>
      <c r="B117" s="1" t="s">
        <v>237</v>
      </c>
      <c r="C117" s="1">
        <v>374.21</v>
      </c>
      <c r="D117" s="1">
        <v>4059.28</v>
      </c>
      <c r="E117" s="1">
        <v>0.32684000000000002</v>
      </c>
      <c r="F117" s="1">
        <v>2.0579999999999998</v>
      </c>
    </row>
    <row r="118" spans="1:6">
      <c r="A118" s="1" t="s">
        <v>238</v>
      </c>
      <c r="B118" s="1" t="s">
        <v>239</v>
      </c>
      <c r="C118" s="1">
        <v>227.51</v>
      </c>
      <c r="D118" s="1">
        <v>3750</v>
      </c>
      <c r="E118" s="1">
        <v>0.17849999999999999</v>
      </c>
      <c r="F118" s="1">
        <v>0</v>
      </c>
    </row>
    <row r="119" spans="1:6">
      <c r="A119" s="1" t="s">
        <v>240</v>
      </c>
      <c r="B119" s="1" t="s">
        <v>241</v>
      </c>
      <c r="C119" s="1">
        <v>477.5</v>
      </c>
      <c r="D119" s="1">
        <v>4212</v>
      </c>
      <c r="E119" s="1">
        <v>0.2195</v>
      </c>
      <c r="F119" s="1">
        <v>2.0139999999999998</v>
      </c>
    </row>
    <row r="120" spans="1:6">
      <c r="A120" s="1" t="s">
        <v>242</v>
      </c>
      <c r="B120" s="1" t="s">
        <v>243</v>
      </c>
      <c r="C120" s="1">
        <v>410.26</v>
      </c>
      <c r="D120" s="1">
        <v>4055</v>
      </c>
      <c r="E120" s="1">
        <v>0.2321</v>
      </c>
      <c r="F120" s="1">
        <v>2.14</v>
      </c>
    </row>
    <row r="121" spans="1:6">
      <c r="A121" s="1" t="s">
        <v>244</v>
      </c>
      <c r="B121" s="1" t="s">
        <v>245</v>
      </c>
      <c r="C121" s="1">
        <v>345.85700000000003</v>
      </c>
      <c r="D121" s="1">
        <v>3761</v>
      </c>
      <c r="E121" s="1">
        <v>0.26150000000000001</v>
      </c>
      <c r="F121" s="1">
        <v>2.34</v>
      </c>
    </row>
    <row r="122" spans="1:6">
      <c r="A122" s="1" t="s">
        <v>246</v>
      </c>
      <c r="B122" s="1" t="s">
        <v>247</v>
      </c>
      <c r="C122" s="1">
        <v>561.6</v>
      </c>
      <c r="D122" s="1">
        <v>5226.12</v>
      </c>
      <c r="E122" s="1">
        <v>0.26800000000000002</v>
      </c>
      <c r="F122" s="1">
        <v>1.44</v>
      </c>
    </row>
    <row r="123" spans="1:6">
      <c r="A123" s="1" t="s">
        <v>248</v>
      </c>
      <c r="B123" s="1" t="s">
        <v>249</v>
      </c>
      <c r="C123" s="1">
        <v>386.411</v>
      </c>
      <c r="D123" s="1">
        <v>4516.75</v>
      </c>
      <c r="E123" s="1">
        <v>0.27521000000000001</v>
      </c>
      <c r="F123" s="1">
        <v>2.262</v>
      </c>
    </row>
    <row r="124" spans="1:6">
      <c r="A124" s="1" t="s">
        <v>250</v>
      </c>
      <c r="B124" s="1" t="s">
        <v>251</v>
      </c>
      <c r="C124" s="1">
        <v>375.25</v>
      </c>
      <c r="D124" s="1">
        <v>5046</v>
      </c>
      <c r="E124" s="1">
        <v>0.22</v>
      </c>
      <c r="F124" s="1">
        <v>1.9397</v>
      </c>
    </row>
    <row r="125" spans="1:6">
      <c r="A125" s="1" t="s">
        <v>252</v>
      </c>
      <c r="B125" s="1" t="s">
        <v>253</v>
      </c>
      <c r="C125" s="1">
        <v>451.48</v>
      </c>
      <c r="D125" s="1">
        <v>5181.2</v>
      </c>
      <c r="E125" s="1">
        <v>0.20610000000000001</v>
      </c>
      <c r="F125" s="1">
        <v>1.37</v>
      </c>
    </row>
    <row r="126" spans="1:6">
      <c r="A126" s="1" t="s">
        <v>254</v>
      </c>
      <c r="B126" s="1" t="s">
        <v>255</v>
      </c>
      <c r="C126" s="1">
        <v>345.02</v>
      </c>
      <c r="D126" s="1">
        <v>2640</v>
      </c>
      <c r="E126" s="1">
        <v>0.31719999999999998</v>
      </c>
      <c r="F126" s="1">
        <v>0</v>
      </c>
    </row>
    <row r="127" spans="1:6">
      <c r="A127" s="1" t="s">
        <v>256</v>
      </c>
      <c r="B127" s="1" t="s">
        <v>257</v>
      </c>
      <c r="C127" s="1">
        <v>369.29500000000002</v>
      </c>
      <c r="D127" s="1">
        <v>4990</v>
      </c>
      <c r="E127" s="1">
        <v>0.22081999999999999</v>
      </c>
      <c r="F127" s="1">
        <v>1.458</v>
      </c>
    </row>
    <row r="128" spans="1:6">
      <c r="A128" s="1" t="s">
        <v>258</v>
      </c>
      <c r="B128" s="1" t="s">
        <v>259</v>
      </c>
      <c r="C128" s="1">
        <v>374.9</v>
      </c>
      <c r="D128" s="1">
        <v>2925</v>
      </c>
      <c r="E128" s="1">
        <v>0.35699999999999998</v>
      </c>
      <c r="F128" s="1">
        <v>1.456</v>
      </c>
    </row>
    <row r="129" spans="1:6">
      <c r="A129" s="1" t="s">
        <v>260</v>
      </c>
      <c r="B129" s="1" t="s">
        <v>261</v>
      </c>
      <c r="C129" s="1">
        <v>299.29300000000001</v>
      </c>
      <c r="D129" s="1">
        <v>4832</v>
      </c>
      <c r="E129" s="1">
        <v>0.26300000000000001</v>
      </c>
      <c r="F129" s="1">
        <v>1.649</v>
      </c>
    </row>
    <row r="130" spans="1:6">
      <c r="A130" s="1" t="s">
        <v>262</v>
      </c>
      <c r="B130" s="1" t="s">
        <v>263</v>
      </c>
      <c r="C130" s="1">
        <v>412.44</v>
      </c>
      <c r="D130" s="1">
        <v>3420</v>
      </c>
      <c r="E130" s="1">
        <v>0.36899999999999999</v>
      </c>
      <c r="F130" s="1">
        <v>1.129</v>
      </c>
    </row>
    <row r="131" spans="1:6">
      <c r="A131" s="1" t="s">
        <v>264</v>
      </c>
      <c r="B131" s="1" t="s">
        <v>265</v>
      </c>
      <c r="C131" s="1">
        <v>398.07</v>
      </c>
      <c r="D131" s="1">
        <v>3200</v>
      </c>
      <c r="E131" s="1">
        <v>0.377</v>
      </c>
      <c r="F131" s="1">
        <v>1.982</v>
      </c>
    </row>
    <row r="132" spans="1:6">
      <c r="A132" s="1" t="s">
        <v>266</v>
      </c>
      <c r="B132" s="1" t="s">
        <v>267</v>
      </c>
      <c r="C132" s="1">
        <v>447.57</v>
      </c>
      <c r="D132" s="1">
        <v>3940.7</v>
      </c>
      <c r="E132" s="1">
        <v>0.35499999999999998</v>
      </c>
      <c r="F132" s="1">
        <v>1.74</v>
      </c>
    </row>
    <row r="133" spans="1:6">
      <c r="A133" s="1" t="s">
        <v>268</v>
      </c>
      <c r="B133" s="1" t="s">
        <v>269</v>
      </c>
      <c r="C133" s="1">
        <v>427.01</v>
      </c>
      <c r="D133" s="1">
        <v>3651</v>
      </c>
      <c r="E133" s="1">
        <v>0.37830000000000003</v>
      </c>
      <c r="F133" s="1">
        <v>1.5489999999999999</v>
      </c>
    </row>
    <row r="134" spans="1:6">
      <c r="A134" s="1" t="s">
        <v>270</v>
      </c>
      <c r="B134" s="1" t="s">
        <v>271</v>
      </c>
      <c r="C134" s="1">
        <v>351.255</v>
      </c>
      <c r="D134" s="1">
        <v>5782</v>
      </c>
      <c r="E134" s="1">
        <v>0.27689999999999998</v>
      </c>
      <c r="F134" s="1">
        <v>1.978</v>
      </c>
    </row>
    <row r="135" spans="1:6">
      <c r="A135" s="1" t="s">
        <v>272</v>
      </c>
      <c r="B135" s="1" t="s">
        <v>273</v>
      </c>
      <c r="C135" s="1">
        <v>460</v>
      </c>
      <c r="D135" s="1">
        <v>3266</v>
      </c>
      <c r="E135" s="1">
        <v>0.377</v>
      </c>
      <c r="F135" s="1">
        <v>3.8069999999999999</v>
      </c>
    </row>
    <row r="136" spans="1:6">
      <c r="A136" s="1" t="s">
        <v>274</v>
      </c>
      <c r="B136" s="1" t="s">
        <v>275</v>
      </c>
      <c r="C136" s="1">
        <v>416.3</v>
      </c>
      <c r="D136" s="1">
        <v>6689.9</v>
      </c>
      <c r="E136" s="1">
        <v>0.15</v>
      </c>
      <c r="F136" s="1">
        <v>1.871</v>
      </c>
    </row>
    <row r="137" spans="1:6">
      <c r="A137" s="1" t="s">
        <v>276</v>
      </c>
      <c r="B137" s="1" t="s">
        <v>277</v>
      </c>
      <c r="C137" s="1">
        <v>317.27999999999997</v>
      </c>
      <c r="D137" s="1">
        <v>5897</v>
      </c>
      <c r="E137" s="1">
        <v>0.20039999999999999</v>
      </c>
      <c r="F137" s="1">
        <v>1.851</v>
      </c>
    </row>
    <row r="138" spans="1:6">
      <c r="A138" s="1" t="s">
        <v>278</v>
      </c>
      <c r="B138" s="1" t="s">
        <v>279</v>
      </c>
      <c r="C138" s="1">
        <v>388.38</v>
      </c>
      <c r="D138" s="1">
        <v>2777.5</v>
      </c>
      <c r="E138" s="1">
        <v>0.3553</v>
      </c>
      <c r="F138" s="1">
        <v>0</v>
      </c>
    </row>
    <row r="139" spans="1:6">
      <c r="A139" s="1" t="s">
        <v>280</v>
      </c>
      <c r="B139" s="1" t="s">
        <v>281</v>
      </c>
      <c r="C139" s="1">
        <v>377.92099999999999</v>
      </c>
      <c r="D139" s="1">
        <v>3635</v>
      </c>
      <c r="E139" s="1">
        <v>0.28899999999999998</v>
      </c>
      <c r="F139" s="1">
        <v>2.48</v>
      </c>
    </row>
    <row r="140" spans="1:6">
      <c r="A140" s="1" t="s">
        <v>282</v>
      </c>
      <c r="B140" s="1" t="s">
        <v>283</v>
      </c>
      <c r="C140" s="1">
        <v>406.81299999999999</v>
      </c>
      <c r="D140" s="1">
        <v>2886.4</v>
      </c>
      <c r="E140" s="1">
        <v>0.35399999999999998</v>
      </c>
      <c r="F140" s="1">
        <v>2.7850000000000001</v>
      </c>
    </row>
    <row r="141" spans="1:6">
      <c r="A141" s="1" t="s">
        <v>284</v>
      </c>
      <c r="B141" s="1" t="s">
        <v>285</v>
      </c>
      <c r="C141" s="1">
        <v>444.88</v>
      </c>
      <c r="D141" s="1">
        <v>3433</v>
      </c>
      <c r="E141" s="1">
        <v>0.38700000000000001</v>
      </c>
      <c r="F141" s="1">
        <v>1.631</v>
      </c>
    </row>
    <row r="142" spans="1:6">
      <c r="A142" s="1" t="s">
        <v>286</v>
      </c>
      <c r="B142" s="1" t="s">
        <v>287</v>
      </c>
      <c r="C142" s="1">
        <v>437.7</v>
      </c>
      <c r="D142" s="1">
        <v>2478.1999999999998</v>
      </c>
      <c r="E142" s="1">
        <v>0.40300000000000002</v>
      </c>
      <c r="F142" s="1">
        <v>3.13</v>
      </c>
    </row>
    <row r="143" spans="1:6">
      <c r="A143" s="1" t="s">
        <v>288</v>
      </c>
      <c r="B143" s="1" t="s">
        <v>289</v>
      </c>
      <c r="C143" s="1">
        <v>318.72320000000002</v>
      </c>
      <c r="D143" s="1">
        <v>3754.9830000000002</v>
      </c>
      <c r="E143" s="1">
        <v>0.218</v>
      </c>
      <c r="F143" s="1">
        <v>0</v>
      </c>
    </row>
    <row r="144" spans="1:6">
      <c r="A144" s="1" t="s">
        <v>290</v>
      </c>
      <c r="B144" s="1" t="s">
        <v>291</v>
      </c>
      <c r="C144" s="1">
        <v>430.64</v>
      </c>
      <c r="D144" s="1">
        <v>7886.6</v>
      </c>
      <c r="E144" s="1">
        <v>0.25600000000000001</v>
      </c>
      <c r="F144" s="1">
        <v>1.6</v>
      </c>
    </row>
    <row r="145" spans="1:6">
      <c r="A145" s="1" t="s">
        <v>292</v>
      </c>
      <c r="B145" s="1" t="s">
        <v>293</v>
      </c>
      <c r="C145" s="1">
        <v>428.61</v>
      </c>
      <c r="D145" s="1">
        <v>4027.3</v>
      </c>
      <c r="E145" s="1">
        <v>0.21</v>
      </c>
      <c r="F145" s="1">
        <v>0</v>
      </c>
    </row>
    <row r="146" spans="1:6">
      <c r="A146" s="1" t="s">
        <v>294</v>
      </c>
      <c r="B146" s="1" t="s">
        <v>295</v>
      </c>
      <c r="C146" s="1">
        <v>591.75</v>
      </c>
      <c r="D146" s="1">
        <v>4126.3</v>
      </c>
      <c r="E146" s="1">
        <v>0.26569999999999999</v>
      </c>
      <c r="F146" s="1">
        <v>0.36</v>
      </c>
    </row>
    <row r="147" spans="1:6">
      <c r="A147" s="1" t="s">
        <v>296</v>
      </c>
      <c r="B147" s="1" t="s">
        <v>297</v>
      </c>
      <c r="C147" s="1">
        <v>424.964</v>
      </c>
      <c r="D147" s="1">
        <v>5590.3</v>
      </c>
      <c r="E147" s="1">
        <v>0.161</v>
      </c>
      <c r="F147" s="1">
        <v>1.45103</v>
      </c>
    </row>
    <row r="148" spans="1:6">
      <c r="A148" s="1" t="s">
        <v>298</v>
      </c>
      <c r="B148" s="1" t="s">
        <v>299</v>
      </c>
      <c r="C148" s="1">
        <v>647.096</v>
      </c>
      <c r="D148" s="1">
        <v>22064</v>
      </c>
      <c r="E148" s="1">
        <v>0.34429999999999999</v>
      </c>
      <c r="F148" s="1">
        <v>1.855</v>
      </c>
    </row>
    <row r="149" spans="1:6">
      <c r="A149" s="1" t="s">
        <v>300</v>
      </c>
      <c r="B149" s="1" t="s">
        <v>301</v>
      </c>
      <c r="C149" s="1">
        <v>289.733</v>
      </c>
      <c r="D149" s="1">
        <v>5842</v>
      </c>
      <c r="E149" s="1">
        <v>3.63E-3</v>
      </c>
      <c r="F149" s="1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81211-7208-FC4B-A3C1-BFC719F953AA}">
  <dimension ref="A1:F30"/>
  <sheetViews>
    <sheetView topLeftCell="A11" zoomScale="200" zoomScaleNormal="200" workbookViewId="0">
      <selection activeCell="E18" sqref="E18"/>
    </sheetView>
  </sheetViews>
  <sheetFormatPr baseColWidth="10" defaultRowHeight="16"/>
  <cols>
    <col min="1" max="1" width="16.83203125" style="1" customWidth="1"/>
    <col min="3" max="3" width="12.33203125" customWidth="1"/>
    <col min="4" max="4" width="23" customWidth="1"/>
    <col min="5" max="5" width="10.83203125" customWidth="1"/>
  </cols>
  <sheetData>
    <row r="1" spans="1:6" s="17" customFormat="1">
      <c r="A1" s="16" t="s">
        <v>349</v>
      </c>
    </row>
    <row r="2" spans="1:6">
      <c r="A2" s="22" t="s">
        <v>351</v>
      </c>
      <c r="B2" s="22"/>
      <c r="C2" s="22"/>
      <c r="D2" s="22"/>
      <c r="E2" s="22"/>
      <c r="F2" s="22"/>
    </row>
    <row r="3" spans="1:6">
      <c r="A3" s="3" t="s">
        <v>303</v>
      </c>
      <c r="B3" s="1">
        <v>385.12</v>
      </c>
    </row>
    <row r="4" spans="1:6">
      <c r="A4" s="3" t="s">
        <v>302</v>
      </c>
      <c r="B4" s="1">
        <v>487.21</v>
      </c>
    </row>
    <row r="5" spans="1:6">
      <c r="A5" s="3" t="s">
        <v>304</v>
      </c>
      <c r="B5" s="1">
        <v>4136.1000000000004</v>
      </c>
    </row>
    <row r="6" spans="1:6">
      <c r="A6" s="3" t="s">
        <v>305</v>
      </c>
      <c r="B6" s="1">
        <v>3392.2</v>
      </c>
    </row>
    <row r="7" spans="1:6">
      <c r="A7" s="3" t="s">
        <v>308</v>
      </c>
      <c r="B7" s="1">
        <v>0.17948</v>
      </c>
    </row>
    <row r="8" spans="1:6">
      <c r="A8" s="3" t="s">
        <v>309</v>
      </c>
      <c r="B8" s="1">
        <v>0.25252999999999998</v>
      </c>
    </row>
    <row r="9" spans="1:6">
      <c r="A9" s="3"/>
      <c r="D9" t="s">
        <v>310</v>
      </c>
      <c r="E9">
        <f>((B3/B4)*(B6/B5)*(B8/B7))</f>
        <v>0.91215200415023379</v>
      </c>
    </row>
    <row r="10" spans="1:6">
      <c r="A10" s="3"/>
      <c r="D10" s="3" t="s">
        <v>312</v>
      </c>
      <c r="E10">
        <f>SQRT(B3*B4)</f>
        <v>433.1677679606367</v>
      </c>
    </row>
    <row r="11" spans="1:6">
      <c r="A11" s="3"/>
      <c r="D11" s="3"/>
    </row>
    <row r="12" spans="1:6" s="15" customFormat="1">
      <c r="A12" s="13" t="s">
        <v>350</v>
      </c>
      <c r="B12" s="14"/>
    </row>
    <row r="13" spans="1:6">
      <c r="A13" s="22" t="s">
        <v>307</v>
      </c>
      <c r="B13" s="22"/>
      <c r="C13" s="22"/>
    </row>
    <row r="14" spans="1:6" ht="17" thickBot="1">
      <c r="A14" s="3" t="s">
        <v>306</v>
      </c>
      <c r="B14">
        <f xml:space="preserve"> (40.4-25.03*2^E9)*(B4/B3)</f>
        <v>-8.4795154349646431</v>
      </c>
    </row>
    <row r="15" spans="1:6" ht="17" thickBot="1">
      <c r="A15" s="19" t="s">
        <v>311</v>
      </c>
      <c r="B15" s="20">
        <f xml:space="preserve"> ((B14+B3+B4)/(2*E10))</f>
        <v>0.99713153708557578</v>
      </c>
    </row>
    <row r="16" spans="1:6">
      <c r="A16" s="5" t="s">
        <v>346</v>
      </c>
      <c r="B16">
        <v>1</v>
      </c>
    </row>
    <row r="18" spans="1:4">
      <c r="A18" s="22" t="s">
        <v>352</v>
      </c>
      <c r="B18" s="22"/>
      <c r="C18" s="22"/>
      <c r="D18" s="22"/>
    </row>
    <row r="19" spans="1:4">
      <c r="B19" s="18" t="s">
        <v>347</v>
      </c>
      <c r="C19" s="18" t="s">
        <v>348</v>
      </c>
      <c r="D19" s="18" t="s">
        <v>315</v>
      </c>
    </row>
    <row r="20" spans="1:4">
      <c r="B20" s="18">
        <v>0</v>
      </c>
      <c r="C20" s="18">
        <f>1-B20</f>
        <v>1</v>
      </c>
      <c r="D20" s="18">
        <f>(B20*$B$3)+(C20*$B$4)+(B20*C20*$B$14)</f>
        <v>487.21</v>
      </c>
    </row>
    <row r="21" spans="1:4">
      <c r="B21" s="18">
        <v>0.1</v>
      </c>
      <c r="C21" s="18">
        <f t="shared" ref="C21:C30" si="0">1-B21</f>
        <v>0.9</v>
      </c>
      <c r="D21" s="18">
        <f t="shared" ref="D21:D30" si="1">(B21*$B$3)+(C21*$B$4)+(B21*C21*$B$14)</f>
        <v>476.23784361085313</v>
      </c>
    </row>
    <row r="22" spans="1:4">
      <c r="B22" s="18">
        <v>0.2</v>
      </c>
      <c r="C22" s="18">
        <f t="shared" si="0"/>
        <v>0.8</v>
      </c>
      <c r="D22" s="18">
        <f t="shared" si="1"/>
        <v>465.4352775304057</v>
      </c>
    </row>
    <row r="23" spans="1:4">
      <c r="B23" s="18">
        <v>0.3</v>
      </c>
      <c r="C23" s="18">
        <f t="shared" si="0"/>
        <v>0.7</v>
      </c>
      <c r="D23" s="18">
        <f t="shared" si="1"/>
        <v>454.80230175865739</v>
      </c>
    </row>
    <row r="24" spans="1:4">
      <c r="B24" s="18">
        <v>0.4</v>
      </c>
      <c r="C24" s="18">
        <f t="shared" si="0"/>
        <v>0.6</v>
      </c>
      <c r="D24" s="18">
        <f t="shared" si="1"/>
        <v>444.33891629560844</v>
      </c>
    </row>
    <row r="25" spans="1:4">
      <c r="B25" s="18">
        <v>0.5</v>
      </c>
      <c r="C25" s="18">
        <f t="shared" si="0"/>
        <v>0.5</v>
      </c>
      <c r="D25" s="18">
        <f t="shared" si="1"/>
        <v>434.04512114125879</v>
      </c>
    </row>
    <row r="26" spans="1:4">
      <c r="B26" s="18">
        <v>0.6</v>
      </c>
      <c r="C26" s="18">
        <f t="shared" si="0"/>
        <v>0.4</v>
      </c>
      <c r="D26" s="18">
        <f t="shared" si="1"/>
        <v>423.92091629560849</v>
      </c>
    </row>
    <row r="27" spans="1:4">
      <c r="B27" s="18">
        <v>0.7</v>
      </c>
      <c r="C27" s="18">
        <f t="shared" si="0"/>
        <v>0.30000000000000004</v>
      </c>
      <c r="D27" s="18">
        <f t="shared" si="1"/>
        <v>413.96630175865744</v>
      </c>
    </row>
    <row r="28" spans="1:4">
      <c r="B28" s="18">
        <v>0.8</v>
      </c>
      <c r="C28" s="18">
        <f t="shared" si="0"/>
        <v>0.19999999999999996</v>
      </c>
      <c r="D28" s="18">
        <f t="shared" si="1"/>
        <v>404.18127753040568</v>
      </c>
    </row>
    <row r="29" spans="1:4">
      <c r="B29" s="18">
        <v>0.9</v>
      </c>
      <c r="C29" s="18">
        <f t="shared" si="0"/>
        <v>9.9999999999999978E-2</v>
      </c>
      <c r="D29" s="18">
        <f t="shared" si="1"/>
        <v>394.56584361085316</v>
      </c>
    </row>
    <row r="30" spans="1:4">
      <c r="B30" s="18">
        <v>1</v>
      </c>
      <c r="C30" s="18">
        <f t="shared" si="0"/>
        <v>0</v>
      </c>
      <c r="D30" s="18">
        <f t="shared" si="1"/>
        <v>385.12</v>
      </c>
    </row>
  </sheetData>
  <mergeCells count="3">
    <mergeCell ref="A2:F2"/>
    <mergeCell ref="A18:D18"/>
    <mergeCell ref="A13:C13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4C695-8316-8448-A5A3-2B006A3356F7}">
  <dimension ref="A1:L65"/>
  <sheetViews>
    <sheetView topLeftCell="A4" zoomScale="200" zoomScaleNormal="150" workbookViewId="0">
      <selection activeCell="I10" sqref="I10"/>
    </sheetView>
  </sheetViews>
  <sheetFormatPr baseColWidth="10" defaultRowHeight="16"/>
  <cols>
    <col min="1" max="1" width="20.33203125" customWidth="1"/>
  </cols>
  <sheetData>
    <row r="1" spans="1:12">
      <c r="B1" s="8" t="b">
        <v>1</v>
      </c>
      <c r="C1" s="8"/>
      <c r="D1" s="8"/>
      <c r="E1" s="8"/>
      <c r="F1" s="8"/>
      <c r="G1" s="8" t="s">
        <v>319</v>
      </c>
      <c r="H1" s="8"/>
      <c r="I1" s="8"/>
      <c r="J1" s="8"/>
      <c r="L1" t="s">
        <v>353</v>
      </c>
    </row>
    <row r="2" spans="1:12">
      <c r="A2" s="8" t="s">
        <v>337</v>
      </c>
      <c r="B2" s="7" t="s">
        <v>338</v>
      </c>
      <c r="C2" s="7" t="s">
        <v>339</v>
      </c>
      <c r="D2" s="7" t="s">
        <v>340</v>
      </c>
      <c r="E2" s="7" t="s">
        <v>341</v>
      </c>
      <c r="F2" s="7"/>
      <c r="G2" s="7" t="s">
        <v>338</v>
      </c>
      <c r="H2" s="7" t="s">
        <v>339</v>
      </c>
      <c r="I2" s="7" t="s">
        <v>340</v>
      </c>
      <c r="J2" s="7" t="s">
        <v>341</v>
      </c>
      <c r="K2" s="4"/>
      <c r="L2" s="7" t="s">
        <v>339</v>
      </c>
    </row>
    <row r="3" spans="1:12">
      <c r="A3" s="8" t="s">
        <v>342</v>
      </c>
      <c r="B3" s="8">
        <v>1.00224</v>
      </c>
      <c r="C3" s="8">
        <v>1.0064599999999999</v>
      </c>
      <c r="D3" s="8">
        <v>1</v>
      </c>
      <c r="E3" s="8">
        <v>1</v>
      </c>
      <c r="F3" s="8"/>
      <c r="G3" s="8">
        <v>1.0366755999999999</v>
      </c>
      <c r="H3" s="8">
        <v>0.96782886999999995</v>
      </c>
      <c r="I3" s="8">
        <v>1.0176672</v>
      </c>
      <c r="J3" s="8">
        <v>1.0075953</v>
      </c>
      <c r="L3" s="8">
        <v>1.0110644526492576</v>
      </c>
    </row>
    <row r="4" spans="1:12">
      <c r="A4" s="8" t="s">
        <v>343</v>
      </c>
      <c r="B4" s="8">
        <v>0.99956999999999996</v>
      </c>
      <c r="C4" s="8">
        <v>0.99594000000000005</v>
      </c>
      <c r="D4" s="8">
        <v>1</v>
      </c>
      <c r="E4" s="8">
        <v>1</v>
      </c>
      <c r="F4" s="8"/>
      <c r="G4" s="8">
        <v>0.99923276999999999</v>
      </c>
      <c r="H4" s="8">
        <v>0.98825806000000005</v>
      </c>
      <c r="I4" s="8">
        <v>1.0142426</v>
      </c>
      <c r="J4" s="8">
        <v>1.0051842</v>
      </c>
      <c r="L4" s="8">
        <v>0.99627000382376685</v>
      </c>
    </row>
    <row r="5" spans="1:12">
      <c r="A5" s="8" t="s">
        <v>344</v>
      </c>
      <c r="B5" s="8">
        <v>1</v>
      </c>
      <c r="C5" s="8">
        <v>0.98818479999999997</v>
      </c>
      <c r="D5" s="8">
        <v>1</v>
      </c>
      <c r="E5" s="8">
        <v>1.0540041</v>
      </c>
      <c r="F5" s="8"/>
      <c r="G5" s="8">
        <v>1.0148512000000001</v>
      </c>
      <c r="H5" s="8">
        <v>0.96320490000000003</v>
      </c>
      <c r="I5" s="8">
        <v>1.0178704000000001</v>
      </c>
      <c r="J5" s="8">
        <v>1.0236088999999999</v>
      </c>
      <c r="L5" s="8">
        <v>1.0029149055212478</v>
      </c>
    </row>
    <row r="6" spans="1:12">
      <c r="A6" s="8" t="s">
        <v>345</v>
      </c>
      <c r="B6" s="8">
        <v>1</v>
      </c>
      <c r="C6" s="8">
        <v>1.0301898</v>
      </c>
      <c r="D6" s="8">
        <v>1</v>
      </c>
      <c r="E6" s="8">
        <v>1.0165842</v>
      </c>
      <c r="F6" s="8"/>
      <c r="G6" s="8">
        <v>1.0306070000000001</v>
      </c>
      <c r="H6" s="8">
        <v>1.0627310999999999</v>
      </c>
      <c r="I6" s="8">
        <v>1.0396217999999999</v>
      </c>
      <c r="J6" s="8">
        <v>1.0145782999999999</v>
      </c>
      <c r="L6" s="8">
        <v>0.99713153708557578</v>
      </c>
    </row>
    <row r="7" spans="1:12">
      <c r="A7" s="8"/>
      <c r="B7" s="8"/>
      <c r="C7" s="8"/>
      <c r="D7" s="8"/>
      <c r="E7" s="8"/>
      <c r="F7" s="8"/>
      <c r="G7" s="8"/>
      <c r="H7" s="8"/>
      <c r="I7" s="8"/>
      <c r="J7" s="8"/>
    </row>
    <row r="8" spans="1:12">
      <c r="A8" s="8"/>
      <c r="B8" s="7" t="s">
        <v>339</v>
      </c>
      <c r="C8" s="8"/>
      <c r="D8" s="8"/>
      <c r="E8" s="8"/>
      <c r="F8" s="7" t="s">
        <v>360</v>
      </c>
      <c r="G8" s="8"/>
      <c r="H8" s="8"/>
      <c r="I8" s="8"/>
      <c r="J8" s="8"/>
    </row>
    <row r="9" spans="1:12">
      <c r="A9" s="8" t="s">
        <v>337</v>
      </c>
      <c r="B9" s="8" t="b">
        <v>1</v>
      </c>
      <c r="C9" s="8" t="s">
        <v>353</v>
      </c>
      <c r="D9" s="8" t="s">
        <v>354</v>
      </c>
      <c r="E9" s="8"/>
      <c r="F9" s="8" t="s">
        <v>353</v>
      </c>
      <c r="G9" s="8" t="s">
        <v>354</v>
      </c>
      <c r="H9" s="8"/>
      <c r="I9" s="8"/>
      <c r="J9" s="8"/>
    </row>
    <row r="10" spans="1:12">
      <c r="A10" s="8" t="s">
        <v>356</v>
      </c>
      <c r="B10" s="8">
        <v>1.0064599999999999</v>
      </c>
      <c r="C10" s="8">
        <v>1.0110644526492576</v>
      </c>
      <c r="D10" s="8">
        <v>0.96782886999999995</v>
      </c>
      <c r="E10" s="8"/>
      <c r="F10" s="8">
        <f>SQRT((B10-C10)^2)</f>
        <v>4.6044526492576843E-3</v>
      </c>
      <c r="G10" s="8">
        <f>SQRT((B10-D10)^2)</f>
        <v>3.8631129999999958E-2</v>
      </c>
      <c r="H10" s="8"/>
      <c r="I10" s="8"/>
      <c r="J10" s="8"/>
    </row>
    <row r="11" spans="1:12">
      <c r="A11" s="8" t="s">
        <v>357</v>
      </c>
      <c r="B11" s="8">
        <v>0.99594000000000005</v>
      </c>
      <c r="C11" s="8">
        <v>0.99627000382376685</v>
      </c>
      <c r="D11" s="8">
        <v>0.98825806000000005</v>
      </c>
      <c r="E11" s="8"/>
      <c r="F11" s="8">
        <f t="shared" ref="F11:F13" si="0">SQRT((B11-C11)^2)</f>
        <v>3.3000382376680015E-4</v>
      </c>
      <c r="G11" s="8">
        <f>SQRT((B11-D11)^2)</f>
        <v>7.6819399999999982E-3</v>
      </c>
      <c r="H11" s="8"/>
      <c r="J11" s="8"/>
    </row>
    <row r="12" spans="1:12">
      <c r="A12" s="8" t="s">
        <v>358</v>
      </c>
      <c r="B12" s="8">
        <v>0.98818479999999997</v>
      </c>
      <c r="C12" s="8">
        <v>1.0029149055212478</v>
      </c>
      <c r="D12" s="8">
        <v>0.96320490000000003</v>
      </c>
      <c r="E12" s="8"/>
      <c r="F12" s="8">
        <f t="shared" si="0"/>
        <v>1.4730105521247872E-2</v>
      </c>
      <c r="G12" s="8">
        <f>SQRT((B12-D12)^2)</f>
        <v>2.4979899999999944E-2</v>
      </c>
      <c r="H12" s="8"/>
      <c r="I12" s="8"/>
      <c r="J12" s="8"/>
    </row>
    <row r="13" spans="1:12">
      <c r="A13" s="8" t="s">
        <v>359</v>
      </c>
      <c r="B13" s="8">
        <v>1.0301898</v>
      </c>
      <c r="C13" s="8">
        <v>0.99713153708557578</v>
      </c>
      <c r="D13" s="8">
        <v>1.0627310999999999</v>
      </c>
      <c r="E13" s="8"/>
      <c r="F13" s="8">
        <f t="shared" si="0"/>
        <v>3.3058262914424263E-2</v>
      </c>
      <c r="G13" s="8">
        <f>SQRT((B13-D13)^2)</f>
        <v>3.2541299999999884E-2</v>
      </c>
      <c r="H13" s="8"/>
      <c r="I13" s="8"/>
      <c r="J13" s="8"/>
    </row>
    <row r="15" spans="1:12">
      <c r="A15" s="7" t="s">
        <v>355</v>
      </c>
      <c r="B15" s="21" t="s">
        <v>314</v>
      </c>
      <c r="C15" s="4" t="b">
        <v>1</v>
      </c>
      <c r="D15" s="4" t="s">
        <v>353</v>
      </c>
      <c r="E15" s="4" t="s">
        <v>354</v>
      </c>
    </row>
    <row r="16" spans="1:12">
      <c r="B16" s="21">
        <v>0</v>
      </c>
      <c r="C16">
        <v>386.411</v>
      </c>
      <c r="D16">
        <v>386.411</v>
      </c>
      <c r="E16">
        <v>386.411</v>
      </c>
    </row>
    <row r="17" spans="1:5">
      <c r="B17" s="21">
        <v>0.1</v>
      </c>
      <c r="C17">
        <v>378.24976484577388</v>
      </c>
      <c r="D17">
        <v>378.42267604221291</v>
      </c>
      <c r="E17">
        <v>377.48605840207438</v>
      </c>
    </row>
    <row r="18" spans="1:5">
      <c r="B18" s="21">
        <v>0.2</v>
      </c>
      <c r="C18">
        <v>370.02406854972946</v>
      </c>
      <c r="D18">
        <v>370.38102851948969</v>
      </c>
      <c r="E18">
        <v>367.91190172712879</v>
      </c>
    </row>
    <row r="19" spans="1:5">
      <c r="B19" s="21">
        <v>0.3</v>
      </c>
      <c r="C19">
        <v>361.75255524169108</v>
      </c>
      <c r="D19">
        <v>362.2860574318301</v>
      </c>
      <c r="E19">
        <v>358.00546044235597</v>
      </c>
    </row>
    <row r="20" spans="1:5">
      <c r="B20" s="21">
        <v>0.4</v>
      </c>
      <c r="C20">
        <v>353.45383566368128</v>
      </c>
      <c r="D20">
        <v>354.13776277923449</v>
      </c>
      <c r="E20">
        <v>348.07447032540676</v>
      </c>
    </row>
    <row r="21" spans="1:5">
      <c r="B21" s="21">
        <v>0.5</v>
      </c>
      <c r="C21">
        <v>345.14648724462495</v>
      </c>
      <c r="D21">
        <v>345.93614456170252</v>
      </c>
      <c r="E21">
        <v>338.41780350526733</v>
      </c>
    </row>
    <row r="22" spans="1:5">
      <c r="B22" s="21">
        <v>0.6</v>
      </c>
      <c r="C22">
        <v>336.84905417485413</v>
      </c>
      <c r="D22">
        <v>337.68120277923447</v>
      </c>
      <c r="E22">
        <v>329.32578530303817</v>
      </c>
    </row>
    <row r="23" spans="1:5">
      <c r="B23" s="21">
        <v>0.7</v>
      </c>
      <c r="C23">
        <v>328.58004748041276</v>
      </c>
      <c r="D23">
        <v>329.37293743183017</v>
      </c>
      <c r="E23">
        <v>321.08049757820424</v>
      </c>
    </row>
    <row r="24" spans="1:5">
      <c r="B24" s="21">
        <v>0.8</v>
      </c>
      <c r="C24">
        <v>320.35794509716152</v>
      </c>
      <c r="D24">
        <v>321.01134851948962</v>
      </c>
      <c r="E24">
        <v>313.95606924620432</v>
      </c>
    </row>
    <row r="25" spans="1:5">
      <c r="B25" s="21">
        <v>0.9</v>
      </c>
      <c r="C25">
        <v>312.20119194468498</v>
      </c>
      <c r="D25">
        <v>312.59643604221287</v>
      </c>
      <c r="E25">
        <v>308.21895459582566</v>
      </c>
    </row>
    <row r="26" spans="1:5">
      <c r="B26" s="21">
        <v>1</v>
      </c>
      <c r="C26">
        <v>304.12819999999999</v>
      </c>
      <c r="D26">
        <v>304.12819999999999</v>
      </c>
      <c r="E26">
        <v>304.12819999999999</v>
      </c>
    </row>
    <row r="28" spans="1:5">
      <c r="A28" s="7" t="s">
        <v>357</v>
      </c>
      <c r="B28" s="21" t="s">
        <v>314</v>
      </c>
      <c r="C28" s="4" t="b">
        <v>1</v>
      </c>
      <c r="D28" s="4" t="s">
        <v>353</v>
      </c>
      <c r="E28" s="4" t="s">
        <v>354</v>
      </c>
    </row>
    <row r="29" spans="1:5">
      <c r="B29" s="21">
        <v>0</v>
      </c>
      <c r="C29">
        <v>345.85700000000003</v>
      </c>
      <c r="D29">
        <v>345.85700000000003</v>
      </c>
      <c r="E29">
        <v>345.85700000000003</v>
      </c>
    </row>
    <row r="30" spans="1:5">
      <c r="B30" s="21">
        <v>0.1</v>
      </c>
      <c r="C30">
        <v>348.35694481971558</v>
      </c>
      <c r="D30">
        <v>348.40050311737144</v>
      </c>
      <c r="E30">
        <v>347.88168351065246</v>
      </c>
    </row>
    <row r="31" spans="1:5">
      <c r="B31" s="21">
        <v>0.2</v>
      </c>
      <c r="C31">
        <v>350.94126943838478</v>
      </c>
      <c r="D31">
        <v>351.00884998643807</v>
      </c>
      <c r="E31">
        <v>350.08650401893772</v>
      </c>
    </row>
    <row r="32" spans="1:5">
      <c r="B32" s="21">
        <v>0.3</v>
      </c>
      <c r="C32">
        <v>353.60627992160732</v>
      </c>
      <c r="D32">
        <v>353.68204060719995</v>
      </c>
      <c r="E32">
        <v>352.47146152485561</v>
      </c>
    </row>
    <row r="33" spans="1:5">
      <c r="B33" s="21">
        <v>0.4</v>
      </c>
      <c r="C33">
        <v>356.34828106410566</v>
      </c>
      <c r="D33">
        <v>356.42007497965716</v>
      </c>
      <c r="E33">
        <v>355.03655602840649</v>
      </c>
    </row>
    <row r="34" spans="1:5">
      <c r="B34" s="21">
        <v>0.5</v>
      </c>
      <c r="C34">
        <v>359.16357638917833</v>
      </c>
      <c r="D34">
        <v>359.22295310380952</v>
      </c>
      <c r="E34">
        <v>357.78178752959002</v>
      </c>
    </row>
    <row r="35" spans="1:5">
      <c r="B35" s="21">
        <v>0.6</v>
      </c>
      <c r="C35">
        <v>362.04846814815306</v>
      </c>
      <c r="D35">
        <v>362.09067497965708</v>
      </c>
      <c r="E35">
        <v>360.70715602840647</v>
      </c>
    </row>
    <row r="36" spans="1:5">
      <c r="B36" s="21">
        <v>0.7</v>
      </c>
      <c r="C36">
        <v>364.99925731983956</v>
      </c>
      <c r="D36">
        <v>365.02324060719997</v>
      </c>
      <c r="E36">
        <v>363.81266152485568</v>
      </c>
    </row>
    <row r="37" spans="1:5">
      <c r="B37" s="21">
        <v>0.8</v>
      </c>
      <c r="C37">
        <v>368.01224360998219</v>
      </c>
      <c r="D37">
        <v>368.02064998643806</v>
      </c>
      <c r="E37">
        <v>367.09830401893771</v>
      </c>
    </row>
    <row r="38" spans="1:5">
      <c r="B38" s="21">
        <v>0.9</v>
      </c>
      <c r="C38">
        <v>371.08372545071228</v>
      </c>
      <c r="D38">
        <v>371.08290311737136</v>
      </c>
      <c r="E38">
        <v>370.56408351065238</v>
      </c>
    </row>
    <row r="39" spans="1:5">
      <c r="B39" s="21">
        <v>1</v>
      </c>
      <c r="C39">
        <v>374.21</v>
      </c>
      <c r="D39">
        <v>374.21</v>
      </c>
      <c r="E39">
        <v>374.21</v>
      </c>
    </row>
    <row r="41" spans="1:5">
      <c r="A41" s="7" t="s">
        <v>358</v>
      </c>
      <c r="B41" s="21" t="s">
        <v>314</v>
      </c>
      <c r="C41" s="4" t="b">
        <v>1</v>
      </c>
      <c r="D41" s="4" t="s">
        <v>353</v>
      </c>
      <c r="E41" s="4" t="s">
        <v>354</v>
      </c>
    </row>
    <row r="42" spans="1:5">
      <c r="B42" s="21">
        <v>0</v>
      </c>
      <c r="C42">
        <v>398.07</v>
      </c>
      <c r="D42">
        <v>398.07</v>
      </c>
      <c r="E42">
        <v>398.07</v>
      </c>
    </row>
    <row r="43" spans="1:5">
      <c r="B43" s="21">
        <v>0.1</v>
      </c>
      <c r="C43">
        <v>392.96042273863009</v>
      </c>
      <c r="D43">
        <v>393.45294922088118</v>
      </c>
      <c r="E43">
        <v>390.78016785726925</v>
      </c>
    </row>
    <row r="44" spans="1:5">
      <c r="B44" s="21">
        <v>0.2</v>
      </c>
      <c r="C44">
        <v>387.95621858030677</v>
      </c>
      <c r="D44">
        <v>388.82157639267768</v>
      </c>
      <c r="E44">
        <v>384.06996507958979</v>
      </c>
    </row>
    <row r="45" spans="1:5">
      <c r="B45" s="21">
        <v>0.3</v>
      </c>
      <c r="C45">
        <v>383.05354802936961</v>
      </c>
      <c r="D45">
        <v>384.17588151538939</v>
      </c>
      <c r="E45">
        <v>377.93939166696146</v>
      </c>
    </row>
    <row r="46" spans="1:5">
      <c r="B46" s="21">
        <v>0.4</v>
      </c>
      <c r="C46">
        <v>378.24857026920182</v>
      </c>
      <c r="D46">
        <v>379.51586458901653</v>
      </c>
      <c r="E46">
        <v>372.38844761938458</v>
      </c>
    </row>
    <row r="47" spans="1:5">
      <c r="B47" s="21">
        <v>0.5</v>
      </c>
      <c r="C47">
        <v>373.53744316166126</v>
      </c>
      <c r="D47">
        <v>374.84152561355887</v>
      </c>
      <c r="E47">
        <v>367.41713293685893</v>
      </c>
    </row>
    <row r="48" spans="1:5">
      <c r="B48" s="21">
        <v>0.6</v>
      </c>
      <c r="C48">
        <v>368.91632324651243</v>
      </c>
      <c r="D48">
        <v>370.15286458901653</v>
      </c>
      <c r="E48">
        <v>363.02544761938464</v>
      </c>
    </row>
    <row r="49" spans="1:5">
      <c r="B49" s="21">
        <v>0.7</v>
      </c>
      <c r="C49">
        <v>364.38136574085786</v>
      </c>
      <c r="D49">
        <v>365.44988151538939</v>
      </c>
      <c r="E49">
        <v>359.21339166696151</v>
      </c>
    </row>
    <row r="50" spans="1:5">
      <c r="B50" s="21">
        <v>0.8</v>
      </c>
      <c r="C50">
        <v>359.9287245385687</v>
      </c>
      <c r="D50">
        <v>360.73257639267769</v>
      </c>
      <c r="E50">
        <v>355.98096507958974</v>
      </c>
    </row>
    <row r="51" spans="1:5">
      <c r="B51" s="21">
        <v>0.9</v>
      </c>
      <c r="C51">
        <v>355.55455220971578</v>
      </c>
      <c r="D51">
        <v>356.00094922088124</v>
      </c>
      <c r="E51">
        <v>353.32816785726925</v>
      </c>
    </row>
    <row r="52" spans="1:5">
      <c r="B52" s="21">
        <v>1</v>
      </c>
      <c r="C52">
        <v>351.255</v>
      </c>
      <c r="D52">
        <v>351.255</v>
      </c>
      <c r="E52">
        <v>351.255</v>
      </c>
    </row>
    <row r="54" spans="1:5">
      <c r="A54" s="7" t="s">
        <v>361</v>
      </c>
      <c r="B54" s="21" t="s">
        <v>314</v>
      </c>
      <c r="C54" s="4" t="b">
        <v>1</v>
      </c>
      <c r="D54" s="4" t="s">
        <v>353</v>
      </c>
      <c r="E54" s="4" t="s">
        <v>354</v>
      </c>
    </row>
    <row r="55" spans="1:5">
      <c r="B55" s="21">
        <v>0</v>
      </c>
      <c r="C55">
        <v>487.21</v>
      </c>
      <c r="D55">
        <v>487.21</v>
      </c>
      <c r="E55">
        <v>487.21</v>
      </c>
    </row>
    <row r="56" spans="1:5">
      <c r="B56" s="21">
        <v>0.1</v>
      </c>
      <c r="C56">
        <v>478.81540292352668</v>
      </c>
      <c r="D56">
        <v>476.23784361085313</v>
      </c>
      <c r="E56">
        <v>481.35265453528342</v>
      </c>
    </row>
    <row r="57" spans="1:5">
      <c r="B57" s="21">
        <v>0.2</v>
      </c>
      <c r="C57">
        <v>470.01760519738082</v>
      </c>
      <c r="D57">
        <v>465.4352775304057</v>
      </c>
      <c r="E57">
        <v>474.52827472939282</v>
      </c>
    </row>
    <row r="58" spans="1:5">
      <c r="B58" s="21">
        <v>0.3</v>
      </c>
      <c r="C58">
        <v>460.81660682156212</v>
      </c>
      <c r="D58">
        <v>454.80230175865739</v>
      </c>
      <c r="E58">
        <v>466.73686058232784</v>
      </c>
    </row>
    <row r="59" spans="1:5">
      <c r="B59" s="21">
        <v>0.4</v>
      </c>
      <c r="C59">
        <v>451.21240779607103</v>
      </c>
      <c r="D59">
        <v>444.33891629560844</v>
      </c>
      <c r="E59">
        <v>457.97841209408898</v>
      </c>
    </row>
    <row r="60" spans="1:5">
      <c r="B60" s="21">
        <v>0.5</v>
      </c>
      <c r="C60">
        <v>441.20500812090734</v>
      </c>
      <c r="D60">
        <v>434.04512114125879</v>
      </c>
      <c r="E60">
        <v>448.25292926467603</v>
      </c>
    </row>
    <row r="61" spans="1:5">
      <c r="B61" s="21">
        <v>0.6</v>
      </c>
      <c r="C61">
        <v>430.79440779607114</v>
      </c>
      <c r="D61">
        <v>423.92091629560849</v>
      </c>
      <c r="E61">
        <v>437.56041209408903</v>
      </c>
    </row>
    <row r="62" spans="1:5">
      <c r="B62" s="21">
        <v>0.7</v>
      </c>
      <c r="C62">
        <v>419.98060682156222</v>
      </c>
      <c r="D62">
        <v>413.96630175865744</v>
      </c>
      <c r="E62">
        <v>425.90086058232794</v>
      </c>
    </row>
    <row r="63" spans="1:5">
      <c r="B63" s="21">
        <v>0.8</v>
      </c>
      <c r="C63">
        <v>408.76360519738074</v>
      </c>
      <c r="D63">
        <v>404.18127753040568</v>
      </c>
      <c r="E63">
        <v>413.27427472939269</v>
      </c>
    </row>
    <row r="64" spans="1:5">
      <c r="B64" s="21">
        <v>0.9</v>
      </c>
      <c r="C64">
        <v>397.14340292352665</v>
      </c>
      <c r="D64">
        <v>394.56584361085316</v>
      </c>
      <c r="E64">
        <v>399.68065453528334</v>
      </c>
    </row>
    <row r="65" spans="2:5">
      <c r="B65" s="21">
        <v>1</v>
      </c>
      <c r="C65">
        <v>385.12</v>
      </c>
      <c r="D65">
        <v>385.12</v>
      </c>
      <c r="E65">
        <v>385.12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D4D42-7179-6B41-8F61-CB10CB68BCBC}">
  <dimension ref="A1:AB36"/>
  <sheetViews>
    <sheetView zoomScale="153" zoomScaleNormal="153" workbookViewId="0">
      <selection activeCell="H6" sqref="H6:H16"/>
    </sheetView>
  </sheetViews>
  <sheetFormatPr baseColWidth="10" defaultColWidth="8.6640625" defaultRowHeight="14"/>
  <cols>
    <col min="1" max="1" width="8.6640625" style="9"/>
    <col min="2" max="2" width="18.5" style="9" customWidth="1"/>
    <col min="3" max="16384" width="8.6640625" style="9"/>
  </cols>
  <sheetData>
    <row r="1" spans="1:28">
      <c r="C1" s="9" t="s">
        <v>322</v>
      </c>
      <c r="D1" s="9" t="s">
        <v>323</v>
      </c>
      <c r="F1" s="9" t="s">
        <v>324</v>
      </c>
      <c r="G1" s="9" t="s">
        <v>325</v>
      </c>
      <c r="H1" s="9" t="s">
        <v>326</v>
      </c>
      <c r="I1" s="9" t="s">
        <v>327</v>
      </c>
    </row>
    <row r="2" spans="1:28" ht="16">
      <c r="A2" s="9" t="s">
        <v>328</v>
      </c>
      <c r="B2" s="9" t="s">
        <v>313</v>
      </c>
      <c r="C2" s="1">
        <v>385.12</v>
      </c>
      <c r="D2" s="9">
        <v>11.1839</v>
      </c>
      <c r="F2" s="9">
        <v>1</v>
      </c>
      <c r="G2" s="9">
        <v>0.99918247217882827</v>
      </c>
      <c r="H2" s="9">
        <v>1</v>
      </c>
      <c r="I2" s="9">
        <v>1</v>
      </c>
    </row>
    <row r="3" spans="1:28" ht="16">
      <c r="A3" s="9" t="s">
        <v>329</v>
      </c>
      <c r="B3" s="9" t="s">
        <v>99</v>
      </c>
      <c r="C3" s="1">
        <v>487.21</v>
      </c>
      <c r="D3" s="9">
        <v>3.4950000000000001</v>
      </c>
    </row>
    <row r="4" spans="1:28" ht="19">
      <c r="T4" s="4" t="s">
        <v>317</v>
      </c>
      <c r="U4"/>
      <c r="V4" s="10" t="s">
        <v>330</v>
      </c>
      <c r="W4" s="11"/>
      <c r="X4" s="11"/>
      <c r="Y4"/>
    </row>
    <row r="5" spans="1:28">
      <c r="A5" s="9">
        <v>12</v>
      </c>
      <c r="C5" s="9">
        <f>SQRT(C2*C3)</f>
        <v>433.1677679606367</v>
      </c>
      <c r="D5" s="9">
        <f>1/(0.125*(1/D2^(1/3)+1/D3^(1/3))^3)</f>
        <v>5.9114023855919751</v>
      </c>
      <c r="F5" s="9" t="s">
        <v>331</v>
      </c>
      <c r="G5" s="9" t="s">
        <v>332</v>
      </c>
      <c r="H5" s="9" t="s">
        <v>333</v>
      </c>
      <c r="I5" s="9" t="s">
        <v>334</v>
      </c>
      <c r="U5" s="9" t="s">
        <v>315</v>
      </c>
      <c r="Z5" s="9" t="s">
        <v>316</v>
      </c>
    </row>
    <row r="6" spans="1:28">
      <c r="F6" s="9">
        <v>0</v>
      </c>
      <c r="G6" s="9">
        <f>1-F6</f>
        <v>1</v>
      </c>
      <c r="H6" s="12">
        <f>F6^2*$C$2+G6^2*$C$3+2*$F$2*$G$2*((F6*G6)/(($F$2^2-1)*F6+1))*$C$5</f>
        <v>487.21</v>
      </c>
      <c r="I6" s="12">
        <f>1/(F6^2/$D$2+G6^2/$D$3+2*$H$2*$I$2*((F6*G6)/(($H$2^2-1)*F6+1))*(1/$D$5))</f>
        <v>3.4950000000000006</v>
      </c>
    </row>
    <row r="7" spans="1:28">
      <c r="F7" s="9">
        <v>0.1</v>
      </c>
      <c r="G7" s="9">
        <f t="shared" ref="G7:G16" si="0">1-F7</f>
        <v>0.9</v>
      </c>
      <c r="H7" s="12">
        <f t="shared" ref="H7:H16" si="1">F7^2*$C$2+G7^2*$C$3+2*$F$2*$G$2*((F7*G7)/(($F$2^2-1)*F7+1))*$C$5</f>
        <v>476.39775542663699</v>
      </c>
      <c r="I7" s="12">
        <f t="shared" ref="I7:I16" si="2">1/(F7^2/$D$2+G7^2/$D$3+2*$H$2*$I$2*((F7*G7)/(($H$2^2-1)*F7+1))*(1/$D$5))</f>
        <v>3.8007866839347688</v>
      </c>
      <c r="T7" s="9" t="s">
        <v>331</v>
      </c>
      <c r="U7" s="9" t="b">
        <v>1</v>
      </c>
      <c r="V7" s="9" t="s">
        <v>319</v>
      </c>
      <c r="W7" s="9" t="s">
        <v>335</v>
      </c>
      <c r="Y7" s="9" t="s">
        <v>331</v>
      </c>
      <c r="Z7" s="9" t="b">
        <v>1</v>
      </c>
      <c r="AA7" s="9" t="s">
        <v>319</v>
      </c>
      <c r="AB7" s="9" t="s">
        <v>335</v>
      </c>
    </row>
    <row r="8" spans="1:28">
      <c r="F8" s="9">
        <v>0.2</v>
      </c>
      <c r="G8" s="9">
        <f t="shared" si="0"/>
        <v>0.8</v>
      </c>
      <c r="H8" s="12">
        <f t="shared" si="1"/>
        <v>465.71956520291019</v>
      </c>
      <c r="I8" s="12">
        <f t="shared" si="2"/>
        <v>4.1523414025584779</v>
      </c>
      <c r="T8" s="9">
        <v>0</v>
      </c>
      <c r="U8" s="9">
        <v>427.01</v>
      </c>
      <c r="V8" s="12">
        <v>427.01</v>
      </c>
      <c r="W8" s="12">
        <v>427.01</v>
      </c>
      <c r="X8" s="12"/>
      <c r="Y8" s="9">
        <v>0</v>
      </c>
      <c r="Z8" s="9">
        <v>3.875</v>
      </c>
      <c r="AA8" s="12">
        <v>3.875</v>
      </c>
      <c r="AB8" s="9">
        <v>3.875</v>
      </c>
    </row>
    <row r="9" spans="1:28">
      <c r="F9" s="9">
        <v>0.3</v>
      </c>
      <c r="G9" s="9">
        <f t="shared" si="0"/>
        <v>0.7</v>
      </c>
      <c r="H9" s="12">
        <f t="shared" si="1"/>
        <v>455.1754293288194</v>
      </c>
      <c r="I9" s="12">
        <f t="shared" si="2"/>
        <v>4.5600321608118648</v>
      </c>
      <c r="T9" s="9">
        <v>0.1</v>
      </c>
      <c r="U9" s="9">
        <v>422.00545301804328</v>
      </c>
      <c r="V9" s="12">
        <v>422.08755248872046</v>
      </c>
      <c r="W9" s="12">
        <v>421.14564850852565</v>
      </c>
      <c r="X9" s="12"/>
      <c r="Y9" s="9">
        <v>0.1</v>
      </c>
      <c r="Z9" s="9">
        <v>3.9688404295317645</v>
      </c>
      <c r="AA9" s="12">
        <v>3.9444517693670464</v>
      </c>
      <c r="AB9" s="9">
        <v>3.9688404295317645</v>
      </c>
    </row>
    <row r="10" spans="1:28">
      <c r="F10" s="9">
        <v>0.4</v>
      </c>
      <c r="G10" s="9">
        <f t="shared" si="0"/>
        <v>0.6</v>
      </c>
      <c r="H10" s="12">
        <f t="shared" si="1"/>
        <v>444.76534780436509</v>
      </c>
      <c r="I10" s="12">
        <f t="shared" si="2"/>
        <v>5.0375403099525737</v>
      </c>
      <c r="T10" s="9">
        <v>0.2</v>
      </c>
      <c r="U10" s="9">
        <v>416.93902758763249</v>
      </c>
      <c r="V10" s="12">
        <v>416.65786988239381</v>
      </c>
      <c r="W10" s="12">
        <v>415.41048623737902</v>
      </c>
      <c r="X10" s="12"/>
      <c r="Y10" s="9">
        <v>0.2</v>
      </c>
      <c r="Z10" s="9">
        <v>4.0665031783090537</v>
      </c>
      <c r="AA10" s="12">
        <v>4.0252075052524017</v>
      </c>
      <c r="AB10" s="9">
        <v>4.0665031783090537</v>
      </c>
    </row>
    <row r="11" spans="1:28">
      <c r="F11" s="9">
        <v>0.5</v>
      </c>
      <c r="G11" s="9">
        <f t="shared" si="0"/>
        <v>0.5</v>
      </c>
      <c r="H11" s="12">
        <f t="shared" si="1"/>
        <v>434.48932062954702</v>
      </c>
      <c r="I11" s="12">
        <f t="shared" si="2"/>
        <v>5.6032887788154735</v>
      </c>
      <c r="T11" s="9">
        <v>0.3</v>
      </c>
      <c r="U11" s="9">
        <v>411.81072370876757</v>
      </c>
      <c r="V11" s="12">
        <v>410.88482401258943</v>
      </c>
      <c r="W11" s="12">
        <v>409.8045131865598</v>
      </c>
      <c r="X11" s="12"/>
      <c r="Y11" s="9">
        <v>0.3</v>
      </c>
      <c r="Z11" s="9">
        <v>4.1682157839016991</v>
      </c>
      <c r="AA11" s="12">
        <v>4.1169143345939805</v>
      </c>
      <c r="AB11" s="9">
        <v>4.1682157839016991</v>
      </c>
    </row>
    <row r="12" spans="1:28">
      <c r="F12" s="9">
        <v>0.6</v>
      </c>
      <c r="G12" s="9">
        <f t="shared" si="0"/>
        <v>0.4</v>
      </c>
      <c r="H12" s="12">
        <f t="shared" si="1"/>
        <v>424.3473478043652</v>
      </c>
      <c r="I12" s="12">
        <f t="shared" si="2"/>
        <v>6.2826769624302754</v>
      </c>
      <c r="T12" s="9">
        <v>0.4</v>
      </c>
      <c r="U12" s="9">
        <v>406.62054138144867</v>
      </c>
      <c r="V12" s="12">
        <v>404.93012789989302</v>
      </c>
      <c r="W12" s="12">
        <v>404.3277293560684</v>
      </c>
      <c r="X12" s="12"/>
      <c r="Y12" s="9">
        <v>0.4</v>
      </c>
      <c r="Z12" s="9">
        <v>4.2742239794824304</v>
      </c>
      <c r="AA12" s="12">
        <v>4.2191963287224494</v>
      </c>
      <c r="AB12" s="9">
        <v>4.2742239794824304</v>
      </c>
    </row>
    <row r="13" spans="1:28">
      <c r="F13" s="9">
        <v>0.7</v>
      </c>
      <c r="G13" s="9">
        <f t="shared" si="0"/>
        <v>0.30000000000000004</v>
      </c>
      <c r="H13" s="12">
        <f t="shared" si="1"/>
        <v>414.33942932881951</v>
      </c>
      <c r="I13" s="12">
        <f>1/(F13^2/$D$2+G13^2/$D$3+2*$H$2*$I$2*((F13*G13)/(($H$2^2-1)*F13+1))*(1/$D$5))</f>
        <v>7.1117086361894435</v>
      </c>
      <c r="T13" s="9">
        <v>0.5</v>
      </c>
      <c r="U13" s="9">
        <v>401.3684806056757</v>
      </c>
      <c r="V13" s="12">
        <v>398.95337118682835</v>
      </c>
      <c r="W13" s="12">
        <v>398.98013474590459</v>
      </c>
      <c r="X13" s="12"/>
      <c r="Y13" s="9">
        <v>0.5</v>
      </c>
      <c r="Z13" s="9">
        <v>4.3847935433302823</v>
      </c>
      <c r="AA13" s="12">
        <v>4.331603768365988</v>
      </c>
      <c r="AB13" s="9">
        <v>4.3847935433302823</v>
      </c>
    </row>
    <row r="14" spans="1:28">
      <c r="F14" s="9">
        <v>0.8</v>
      </c>
      <c r="G14" s="9">
        <f t="shared" si="0"/>
        <v>0.19999999999999996</v>
      </c>
      <c r="H14" s="12">
        <f t="shared" si="1"/>
        <v>404.46556520291011</v>
      </c>
      <c r="I14" s="12">
        <f t="shared" si="2"/>
        <v>8.1431427373133296</v>
      </c>
      <c r="T14" s="9">
        <v>0.6</v>
      </c>
      <c r="U14" s="9">
        <v>396.0545413814487</v>
      </c>
      <c r="V14" s="12">
        <v>393.11205487518265</v>
      </c>
      <c r="W14" s="12">
        <v>393.76172935606837</v>
      </c>
      <c r="X14" s="12"/>
      <c r="Y14" s="9">
        <v>0.6</v>
      </c>
      <c r="Z14" s="9">
        <v>4.5002123783888948</v>
      </c>
      <c r="AA14" s="12">
        <v>4.453557302948151</v>
      </c>
      <c r="AB14" s="9">
        <v>4.5002123783888948</v>
      </c>
    </row>
    <row r="15" spans="1:28">
      <c r="F15" s="9">
        <v>0.9</v>
      </c>
      <c r="G15" s="9">
        <f t="shared" si="0"/>
        <v>9.9999999999999978E-2</v>
      </c>
      <c r="H15" s="12">
        <f t="shared" si="1"/>
        <v>394.72575542663691</v>
      </c>
      <c r="I15" s="12">
        <f>1/(F15^2/$D$2+G15^2/$D$3+2*$H$2*$I$2*((F15*G15)/(($H$2^2-1)*F15+1))*(1/$D$5))</f>
        <v>9.4574812350428221</v>
      </c>
      <c r="T15" s="9">
        <v>0.7</v>
      </c>
      <c r="U15" s="9">
        <v>390.67872370876762</v>
      </c>
      <c r="V15" s="12">
        <v>387.56162538361627</v>
      </c>
      <c r="W15" s="12">
        <v>388.67251318655985</v>
      </c>
      <c r="X15" s="12"/>
      <c r="Y15" s="9">
        <v>0.7</v>
      </c>
      <c r="Z15" s="9">
        <v>4.6207928559628915</v>
      </c>
      <c r="AA15" s="12">
        <v>4.5842858037341507</v>
      </c>
      <c r="AB15" s="9">
        <v>4.6207928559628915</v>
      </c>
    </row>
    <row r="16" spans="1:28">
      <c r="F16" s="9">
        <v>1</v>
      </c>
      <c r="G16" s="9">
        <f t="shared" si="0"/>
        <v>0</v>
      </c>
      <c r="H16" s="12">
        <f t="shared" si="1"/>
        <v>385.12</v>
      </c>
      <c r="I16" s="12">
        <f t="shared" si="2"/>
        <v>11.1839</v>
      </c>
      <c r="T16" s="9">
        <v>0.8</v>
      </c>
      <c r="U16" s="9">
        <v>385.24102758763246</v>
      </c>
      <c r="V16" s="12">
        <v>382.45550794102087</v>
      </c>
      <c r="W16" s="12">
        <v>383.71248623737893</v>
      </c>
      <c r="X16" s="12"/>
      <c r="Y16" s="9">
        <v>0.8</v>
      </c>
      <c r="Z16" s="9">
        <v>4.7468744635308155</v>
      </c>
      <c r="AA16" s="12">
        <v>4.7227576086860026</v>
      </c>
      <c r="AB16" s="9">
        <v>4.7468744635308155</v>
      </c>
    </row>
    <row r="17" spans="2:28">
      <c r="T17" s="9">
        <v>0.9</v>
      </c>
      <c r="U17" s="9">
        <v>379.74145301804327</v>
      </c>
      <c r="V17" s="12">
        <v>377.945139330693</v>
      </c>
      <c r="W17" s="12">
        <v>378.88164850852564</v>
      </c>
      <c r="X17" s="12"/>
      <c r="Y17" s="9">
        <v>0.9</v>
      </c>
      <c r="Z17" s="9">
        <v>4.8788268037207647</v>
      </c>
      <c r="AA17" s="12">
        <v>4.8676061708317846</v>
      </c>
      <c r="AB17" s="9">
        <v>4.8788268037207647</v>
      </c>
    </row>
    <row r="18" spans="2:28">
      <c r="T18" s="9">
        <v>1</v>
      </c>
      <c r="U18" s="9">
        <v>374.18</v>
      </c>
      <c r="V18" s="12">
        <v>374.18</v>
      </c>
      <c r="W18" s="12">
        <v>374.18</v>
      </c>
      <c r="X18" s="12"/>
      <c r="Y18" s="9">
        <v>1</v>
      </c>
      <c r="Z18" s="9">
        <v>5.0170529999999998</v>
      </c>
      <c r="AA18" s="12">
        <v>5.0170529999999998</v>
      </c>
      <c r="AB18" s="9">
        <v>5.0170529999999998</v>
      </c>
    </row>
    <row r="21" spans="2:28" ht="16">
      <c r="B21" s="4" t="s">
        <v>317</v>
      </c>
      <c r="C21"/>
      <c r="D21" s="11" t="s">
        <v>318</v>
      </c>
      <c r="E21"/>
      <c r="F21"/>
    </row>
    <row r="22" spans="2:28" ht="16">
      <c r="B22"/>
      <c r="C22"/>
      <c r="D22"/>
      <c r="E22"/>
      <c r="F22"/>
      <c r="T22" s="4" t="s">
        <v>320</v>
      </c>
      <c r="U22"/>
      <c r="V22" s="4" t="s">
        <v>336</v>
      </c>
      <c r="W22" s="4"/>
      <c r="X22" s="4"/>
      <c r="Y22"/>
    </row>
    <row r="23" spans="2:28" ht="16">
      <c r="B23" s="4" t="b">
        <v>1</v>
      </c>
      <c r="C23">
        <v>1</v>
      </c>
      <c r="D23">
        <v>1.0060511999999999</v>
      </c>
      <c r="E23">
        <v>1</v>
      </c>
      <c r="F23">
        <v>1</v>
      </c>
      <c r="U23" s="9" t="s">
        <v>315</v>
      </c>
      <c r="Z23" s="9" t="s">
        <v>316</v>
      </c>
    </row>
    <row r="24" spans="2:28" ht="16">
      <c r="B24" s="4" t="s">
        <v>319</v>
      </c>
      <c r="C24" s="8">
        <v>1.0165500999999999</v>
      </c>
      <c r="D24" s="8">
        <v>0.99410120000000002</v>
      </c>
      <c r="E24" s="8">
        <v>1.0163031</v>
      </c>
      <c r="F24" s="8">
        <v>1.0247611000000001</v>
      </c>
    </row>
    <row r="25" spans="2:28">
      <c r="T25" s="9" t="s">
        <v>331</v>
      </c>
      <c r="U25" s="9" t="b">
        <v>1</v>
      </c>
      <c r="V25" s="9" t="s">
        <v>319</v>
      </c>
      <c r="W25" s="9" t="s">
        <v>335</v>
      </c>
      <c r="Y25" s="9" t="s">
        <v>331</v>
      </c>
      <c r="Z25" s="9" t="b">
        <v>1</v>
      </c>
      <c r="AA25" s="9" t="s">
        <v>319</v>
      </c>
      <c r="AB25" s="9" t="s">
        <v>335</v>
      </c>
    </row>
    <row r="26" spans="2:28">
      <c r="T26" s="9">
        <v>0</v>
      </c>
      <c r="U26" s="9">
        <v>374.9</v>
      </c>
      <c r="V26" s="9">
        <v>374.9</v>
      </c>
      <c r="W26" s="9">
        <v>374.9</v>
      </c>
      <c r="Y26" s="9">
        <v>0</v>
      </c>
      <c r="Z26" s="9">
        <v>3.4950000000000006</v>
      </c>
      <c r="AA26" s="9">
        <v>3.4950000000000006</v>
      </c>
      <c r="AB26" s="6">
        <v>3.5</v>
      </c>
    </row>
    <row r="27" spans="2:28">
      <c r="T27" s="9">
        <v>0.1</v>
      </c>
      <c r="U27" s="9">
        <v>358.70159893458509</v>
      </c>
      <c r="V27" s="9">
        <v>355.6520987665179</v>
      </c>
      <c r="W27" s="9">
        <v>354.62199479406371</v>
      </c>
      <c r="Y27" s="9">
        <v>0.1</v>
      </c>
      <c r="Z27" s="9">
        <v>3.8007866839347688</v>
      </c>
      <c r="AA27" s="9">
        <v>3.7305777807332001</v>
      </c>
      <c r="AB27" s="6">
        <v>3.8</v>
      </c>
    </row>
    <row r="28" spans="2:28" ht="16">
      <c r="B28" s="4" t="s">
        <v>320</v>
      </c>
      <c r="C28"/>
      <c r="D28" s="4" t="s">
        <v>321</v>
      </c>
      <c r="E28"/>
      <c r="F28"/>
      <c r="T28" s="9">
        <v>0.2</v>
      </c>
      <c r="U28" s="9">
        <v>340.57599810592916</v>
      </c>
      <c r="V28" s="9">
        <v>334.68218011800064</v>
      </c>
      <c r="W28" s="9">
        <v>333.32336852278007</v>
      </c>
      <c r="Y28" s="9">
        <v>0.2</v>
      </c>
      <c r="Z28" s="9">
        <v>4.1523414025584779</v>
      </c>
      <c r="AA28" s="9">
        <v>4.0125844985931556</v>
      </c>
      <c r="AB28" s="6">
        <v>4.1500000000000004</v>
      </c>
    </row>
    <row r="29" spans="2:28" ht="16">
      <c r="B29"/>
      <c r="C29"/>
      <c r="D29"/>
      <c r="E29"/>
      <c r="F29"/>
      <c r="T29" s="9">
        <v>0.3</v>
      </c>
      <c r="U29" s="9">
        <v>320.52319751403195</v>
      </c>
      <c r="V29" s="9">
        <v>312.17389067489739</v>
      </c>
      <c r="W29" s="9">
        <v>311.00412118614872</v>
      </c>
      <c r="Y29" s="9">
        <v>0.3</v>
      </c>
      <c r="Z29" s="9">
        <v>4.5600321608118648</v>
      </c>
      <c r="AA29" s="9">
        <v>4.3522056644535843</v>
      </c>
      <c r="AB29" s="6">
        <v>4.5599999999999996</v>
      </c>
    </row>
    <row r="30" spans="2:28" ht="16">
      <c r="B30" s="4" t="b">
        <v>1</v>
      </c>
      <c r="C30">
        <v>1</v>
      </c>
      <c r="D30">
        <v>1.3734074000000001</v>
      </c>
      <c r="E30">
        <v>1</v>
      </c>
      <c r="F30">
        <v>1.1099760000000001</v>
      </c>
      <c r="T30" s="9">
        <v>0.4</v>
      </c>
      <c r="U30" s="9">
        <v>298.54319715889369</v>
      </c>
      <c r="V30" s="9">
        <v>288.30706783865162</v>
      </c>
      <c r="W30" s="9">
        <v>287.66425278417</v>
      </c>
      <c r="Y30" s="9">
        <v>0.4</v>
      </c>
      <c r="Z30" s="9">
        <v>5.0375403099525737</v>
      </c>
      <c r="AA30" s="9">
        <v>4.7648248093649013</v>
      </c>
      <c r="AB30" s="6">
        <v>5.04</v>
      </c>
    </row>
    <row r="31" spans="2:28" ht="16">
      <c r="B31" s="4" t="s">
        <v>319</v>
      </c>
      <c r="C31" s="8">
        <v>1.0261353</v>
      </c>
      <c r="D31" s="8">
        <v>1.2692064000000001</v>
      </c>
      <c r="E31" s="8">
        <v>1.0328573000000001</v>
      </c>
      <c r="F31" s="8">
        <v>1.1331484000000001</v>
      </c>
      <c r="T31" s="9">
        <v>0.5</v>
      </c>
      <c r="U31" s="9">
        <v>274.63599704051421</v>
      </c>
      <c r="V31" s="9">
        <v>263.2578380462636</v>
      </c>
      <c r="W31" s="9">
        <v>263.30376331684374</v>
      </c>
      <c r="Y31" s="9">
        <v>0.5</v>
      </c>
      <c r="Z31" s="9">
        <v>5.6032887788154735</v>
      </c>
      <c r="AA31" s="9">
        <v>5.2720773838032784</v>
      </c>
      <c r="AB31" s="6">
        <v>5.6</v>
      </c>
    </row>
    <row r="32" spans="2:28">
      <c r="T32" s="9">
        <v>0.6</v>
      </c>
      <c r="U32" s="9">
        <v>248.80159715889368</v>
      </c>
      <c r="V32" s="9">
        <v>237.1987119992225</v>
      </c>
      <c r="W32" s="9">
        <v>237.92265278417</v>
      </c>
      <c r="Y32" s="9">
        <v>0.6</v>
      </c>
      <c r="Z32" s="9">
        <v>6.2826769624302754</v>
      </c>
      <c r="AA32" s="9">
        <v>5.9052552944745651</v>
      </c>
      <c r="AB32" s="6">
        <v>6.28</v>
      </c>
    </row>
    <row r="33" spans="20:28">
      <c r="T33" s="9">
        <v>0.7</v>
      </c>
      <c r="U33" s="9">
        <v>221.03999751403194</v>
      </c>
      <c r="V33" s="9">
        <v>210.29867697494981</v>
      </c>
      <c r="W33" s="9">
        <v>211.52092118614874</v>
      </c>
      <c r="Y33" s="9">
        <v>0.7</v>
      </c>
      <c r="Z33" s="9">
        <v>7.1117086361894435</v>
      </c>
      <c r="AA33" s="9">
        <v>6.7112168142623636</v>
      </c>
      <c r="AB33" s="6">
        <v>7.11</v>
      </c>
    </row>
    <row r="34" spans="20:28">
      <c r="T34" s="9">
        <v>0.8</v>
      </c>
      <c r="U34" s="9">
        <v>191.35119810592909</v>
      </c>
      <c r="V34" s="9">
        <v>182.72328632450427</v>
      </c>
      <c r="W34" s="9">
        <v>184.09856852278</v>
      </c>
      <c r="Y34" s="9">
        <v>0.8</v>
      </c>
      <c r="Z34" s="9">
        <v>8.1431427373133296</v>
      </c>
      <c r="AA34" s="9">
        <v>7.7632427253774328</v>
      </c>
      <c r="AB34" s="6">
        <v>8.14</v>
      </c>
    </row>
    <row r="35" spans="20:28">
      <c r="T35" s="9">
        <v>0.9</v>
      </c>
      <c r="U35" s="9">
        <v>159.7351989345851</v>
      </c>
      <c r="V35" s="9">
        <v>154.63474625610195</v>
      </c>
      <c r="W35" s="9">
        <v>155.65559479406372</v>
      </c>
      <c r="Y35" s="9">
        <v>0.9</v>
      </c>
      <c r="Z35" s="9">
        <v>9.4574812350428221</v>
      </c>
      <c r="AA35" s="9">
        <v>9.1824364569520789</v>
      </c>
      <c r="AB35" s="6">
        <v>9.4600000000000009</v>
      </c>
    </row>
    <row r="36" spans="20:28">
      <c r="T36" s="9">
        <v>1</v>
      </c>
      <c r="U36" s="9">
        <v>126.19199999999999</v>
      </c>
      <c r="V36" s="9">
        <v>126.19199999999999</v>
      </c>
      <c r="W36" s="9">
        <v>126.19199999999999</v>
      </c>
      <c r="Y36" s="9">
        <v>1</v>
      </c>
      <c r="Z36" s="9">
        <v>11.1839</v>
      </c>
      <c r="AA36" s="9">
        <v>11.1839</v>
      </c>
      <c r="AB36" s="6">
        <v>11.18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Crit. Param.</vt:lpstr>
      <vt:lpstr>GammaT</vt:lpstr>
      <vt:lpstr>Result</vt:lpstr>
      <vt:lpstr>Tred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Navin Rajapriya</dc:creator>
  <cp:lastModifiedBy>Navin Rajapriya</cp:lastModifiedBy>
  <dcterms:created xsi:type="dcterms:W3CDTF">2025-05-13T02:55:51Z</dcterms:created>
  <dcterms:modified xsi:type="dcterms:W3CDTF">2025-05-14T04:15:56Z</dcterms:modified>
</cp:coreProperties>
</file>